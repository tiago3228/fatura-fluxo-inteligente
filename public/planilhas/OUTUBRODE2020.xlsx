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ENA\Desktop\CARTÃO\"/>
    </mc:Choice>
  </mc:AlternateContent>
  <xr:revisionPtr revIDLastSave="0" documentId="13_ncr:1_{E07EDF8C-8CFF-4576-8C85-40C35F55F434}" xr6:coauthVersionLast="47" xr6:coauthVersionMax="47" xr10:uidLastSave="{00000000-0000-0000-0000-000000000000}"/>
  <bookViews>
    <workbookView xWindow="-120" yWindow="-120" windowWidth="20730" windowHeight="11160" firstSheet="1" activeTab="2" xr2:uid="{D15AA550-5ACC-409C-A3F4-71942EF8910C}"/>
  </bookViews>
  <sheets>
    <sheet name="Planilha2" sheetId="2" r:id="rId1"/>
    <sheet name="Planilha2 (4)" sheetId="8" r:id="rId2"/>
    <sheet name="ABRIL DE 2026" sheetId="4" r:id="rId3"/>
    <sheet name="Planilha3" sheetId="5" r:id="rId4"/>
  </sheets>
  <definedNames>
    <definedName name="_xlnm._FilterDatabase" localSheetId="2" hidden="1">'ABRIL DE 2026'!$A$1:$C$144</definedName>
    <definedName name="_xlnm._FilterDatabase" localSheetId="0" hidden="1">Planilha2!$A$1:$C$20</definedName>
    <definedName name="_xlnm._FilterDatabase" localSheetId="1" hidden="1">'Planilha2 (4)'!$A$1:$C$24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0" i="4" l="1"/>
  <c r="C4" i="8"/>
  <c r="C144" i="4"/>
  <c r="C49" i="2"/>
  <c r="C47" i="2"/>
  <c r="C45" i="2"/>
  <c r="C29" i="2"/>
  <c r="C32" i="2" s="1"/>
  <c r="C34" i="2" s="1"/>
  <c r="C8" i="2"/>
  <c r="C13" i="2" s="1"/>
  <c r="C18" i="2" s="1"/>
  <c r="C23" i="2" s="1"/>
</calcChain>
</file>

<file path=xl/sharedStrings.xml><?xml version="1.0" encoding="utf-8"?>
<sst xmlns="http://schemas.openxmlformats.org/spreadsheetml/2006/main" count="248" uniqueCount="129">
  <si>
    <t>NOME DA PESSOA</t>
  </si>
  <si>
    <t xml:space="preserve">ITEM </t>
  </si>
  <si>
    <t xml:space="preserve">VALOR </t>
  </si>
  <si>
    <t>ARLETE</t>
  </si>
  <si>
    <t>ATENA</t>
  </si>
  <si>
    <t xml:space="preserve">ATENA </t>
  </si>
  <si>
    <t>JOÃO</t>
  </si>
  <si>
    <t>VALOR</t>
  </si>
  <si>
    <t>NOME</t>
  </si>
  <si>
    <t xml:space="preserve">DATA </t>
  </si>
  <si>
    <t xml:space="preserve">sobrou do mês passado </t>
  </si>
  <si>
    <t>ARLETE 1800/ATENA</t>
  </si>
  <si>
    <t>TOTAL GERAL</t>
  </si>
  <si>
    <t xml:space="preserve">atena 528 </t>
  </si>
  <si>
    <t>CARÃO</t>
  </si>
  <si>
    <t xml:space="preserve">CARTÃO </t>
  </si>
  <si>
    <t xml:space="preserve">TOTAL </t>
  </si>
  <si>
    <t>ATENA CARDOSO (final 4494)</t>
  </si>
  <si>
    <t>ATENA CARDOSO (final 7264)</t>
  </si>
  <si>
    <t>atena</t>
  </si>
  <si>
    <t>pagamento cartão</t>
  </si>
  <si>
    <t>FREZER</t>
  </si>
  <si>
    <t>TV 50 POLEGADAS</t>
  </si>
  <si>
    <t xml:space="preserve">TOTAL GERAL  CAIXA </t>
  </si>
  <si>
    <t xml:space="preserve"> CARTÃO DIA 05</t>
  </si>
  <si>
    <t xml:space="preserve"> TOTAL GERAL </t>
  </si>
  <si>
    <t>deposito</t>
  </si>
  <si>
    <t>total geral</t>
  </si>
  <si>
    <t>desconto cartão dia 10</t>
  </si>
  <si>
    <t>sobra cartão do dia 23</t>
  </si>
  <si>
    <t xml:space="preserve">deposito </t>
  </si>
  <si>
    <t>depostio</t>
  </si>
  <si>
    <t>TIAGO DOS SANTOS CARDOSO(final 4352)</t>
  </si>
  <si>
    <t>ATENA CARDOSO (final 7473)</t>
  </si>
  <si>
    <t xml:space="preserve">ARLETE </t>
  </si>
  <si>
    <t xml:space="preserve">ana </t>
  </si>
  <si>
    <t xml:space="preserve">arlete </t>
  </si>
  <si>
    <t>18/08 SUPERMERCADO-CT 01/02 51,19</t>
  </si>
  <si>
    <t>21/08 DM *Spotify 12,90</t>
  </si>
  <si>
    <t>ANA</t>
  </si>
  <si>
    <t>REU</t>
  </si>
  <si>
    <t>24/10 CENTRO ODONTOLOGIC 1/12 208,37</t>
  </si>
  <si>
    <t>21/11 WesleyFranci-CT 11/12 294,65</t>
  </si>
  <si>
    <t>27/12 JIM.COM* JAI-CT NA 10/10 112,49</t>
  </si>
  <si>
    <t>23/01 SHEIN *SHEIN.COM 09/09 158,29</t>
  </si>
  <si>
    <r>
      <rPr>
        <sz val="18"/>
        <color rgb="FFFF0000"/>
        <rFont val="Calibri"/>
        <family val="2"/>
        <scheme val="minor"/>
      </rPr>
      <t>ESPELHO</t>
    </r>
    <r>
      <rPr>
        <sz val="18"/>
        <color theme="1"/>
        <rFont val="Calibri"/>
        <family val="2"/>
        <scheme val="minor"/>
      </rPr>
      <t xml:space="preserve"> 05/02 MP *CRISTALV-CT S 09/10 110,00</t>
    </r>
  </si>
  <si>
    <t>18/02 MOTO ROMA XII 08/12 1.833,37</t>
  </si>
  <si>
    <t>20/02 JIM.COM* LAP-CT ER 08/10 330,00</t>
  </si>
  <si>
    <t>23/03 WesleyFranci-CT 07/12 161,60</t>
  </si>
  <si>
    <t>6/04 SHEIN *SHEIN.COM 06/06 71,02</t>
  </si>
  <si>
    <t>13/05 MERCADOLIVRE*MERCA  06/10 198,90</t>
  </si>
  <si>
    <t>6/07 HTM*CENTRO DE ESTU0 05/12 55,85</t>
  </si>
  <si>
    <t>23/07 JUCA FERRAGE-CT 03/03 62,34</t>
  </si>
  <si>
    <t>25/07 SUP EPA CINQ-CT A 03/03 40,66</t>
  </si>
  <si>
    <t>6/07 CONSTANCE -CT 03/06 43,34</t>
  </si>
  <si>
    <t>/07 SUPERMERCADO-CT 03/03 55,47</t>
  </si>
  <si>
    <t>04/08 HTM*Marcus Viniciu03/08 36,35</t>
  </si>
  <si>
    <t>10/08 JIM.COM* ALAN GERA 03/04 27,17</t>
  </si>
  <si>
    <t>11/08 JUCA FERRAGE-CT 03/03 69,64</t>
  </si>
  <si>
    <t>16/08 PETZ DIGITAL 02/03 96,02</t>
  </si>
  <si>
    <t>20/08 Araujo Loja -CT 02/02 78,65</t>
  </si>
  <si>
    <t>21/08 JIM.COM* ANA-CT LA02/10 155,00</t>
  </si>
  <si>
    <t>21/08 SN SANTA TER-CT 02/03 89,10</t>
  </si>
  <si>
    <t>24/08 ABC ATACADO -CT RE02/02 111,90</t>
  </si>
  <si>
    <t>27/08 ABC ATACADO -CT RE02/02 66,84</t>
  </si>
  <si>
    <t>28/08 MP *ANAPAULADASIL 02/10 118,98</t>
  </si>
  <si>
    <t>29/08 ISRAELQUIRIN-CT R 02/02 110,00</t>
  </si>
  <si>
    <t>31/08 ABC ATACADO -CT RE02/02 80,28</t>
  </si>
  <si>
    <t>03/09 ABC ATACADO -CT RE02/02 124,20</t>
  </si>
  <si>
    <t>08/09 LaecioSilvaS-CT 02/02 60,00</t>
  </si>
  <si>
    <t>08/09 EvilazioSant-CT O 02/02 40,00</t>
  </si>
  <si>
    <t>10/09 WesleyFranci-CT 02/10 1.117,90</t>
  </si>
  <si>
    <t>10/09 ABC ATACADO -CT RE  02/02 133,51</t>
  </si>
  <si>
    <t>10/09 ABC ATACADO -CT RE02/02 133,51</t>
  </si>
  <si>
    <t>12/09 COBASI AV DO-CT TO02/02 115,44</t>
  </si>
  <si>
    <t>13/09 ABC ATACADO -CT RE02/02 81,89</t>
  </si>
  <si>
    <t>5/09 Uber UBER *TRIP HELP.U 22,99</t>
  </si>
  <si>
    <t>17/09 ABC ATACADO -CT RE01/02 98,81</t>
  </si>
  <si>
    <t>/09 DO PELE LTDA-CT 29,54</t>
  </si>
  <si>
    <t>18/09 DL*UberRides 22,97</t>
  </si>
  <si>
    <t>21/09 SOS BIRINYTE-CT 68,59</t>
  </si>
  <si>
    <t>21/09 DL*UberRides 20,97</t>
  </si>
  <si>
    <t>21/09 DM*Spotify P4726 12,90</t>
  </si>
  <si>
    <t>3/09 COBASI 01/02 97,47</t>
  </si>
  <si>
    <t>23/09 SUP EPA QUAT-CT 01/02 169,68</t>
  </si>
  <si>
    <t>/09 COM NUNES PE-CT 50,85</t>
  </si>
  <si>
    <t>24/09 DL*UberRides 19,97</t>
  </si>
  <si>
    <t>4/09 99APP *99App 75,00</t>
  </si>
  <si>
    <t>4/09 SOLIDA NUTRI-CT 40,50</t>
  </si>
  <si>
    <t>27/09 99APP *99App 4,55</t>
  </si>
  <si>
    <t>27/09 99APP *99App 25,90</t>
  </si>
  <si>
    <t xml:space="preserve"> SUPERMERCADO-CT 01/03 89,35</t>
  </si>
  <si>
    <t>9/09 ConsultaMedi-CT 01/02 105,26</t>
  </si>
  <si>
    <t>29/09 SUP EPA DEZE-CT 01/02 75,59</t>
  </si>
  <si>
    <t>29/09 99APP *99App 39,60</t>
  </si>
  <si>
    <t>29/09 99APP *99App 33,40</t>
  </si>
  <si>
    <t>0/09 MEU PRATA LJ-CT 59,23</t>
  </si>
  <si>
    <t>2/10 DO PELE LTDA-CT 64,67</t>
  </si>
  <si>
    <t>02/10 99APP *99App 21,40</t>
  </si>
  <si>
    <t>03/10 SUPERMERCADO-CT 01/02 126,86</t>
  </si>
  <si>
    <t>3/10 Google G1AI103M 24,99</t>
  </si>
  <si>
    <t>4/10 Araujo Loja -CT 01/03 165,63</t>
  </si>
  <si>
    <t>6/10 SHEIN *SHEIN.COM 01/09 38,07</t>
  </si>
  <si>
    <t>06/10 SHEIN *SHEIN.COM 01/09 39,56</t>
  </si>
  <si>
    <t>06/10 SUPERMERCADO-CT B01/02 80,10</t>
  </si>
  <si>
    <t>/10 SUPERMERCADO-CT 01/02 32,41</t>
  </si>
  <si>
    <t>7/10 GGP COMERCIO-CT EJISTA 15,00</t>
  </si>
  <si>
    <t>07/10 SHEIN *SHEIN.COM 01/09 58,19</t>
  </si>
  <si>
    <t>08/10 SUPERMERCADO-CT 01/03 33,25</t>
  </si>
  <si>
    <t>8/10 DROGARIA POM-CT LTDA 22,90</t>
  </si>
  <si>
    <t>8/10 ABASTECER AN-CT AS 13,22</t>
  </si>
  <si>
    <t>10/10 SN SANTA TER-CT 01/02 118,98</t>
  </si>
  <si>
    <t>12/10 SUPERMERCADO-CT BAHIA 52,84</t>
  </si>
  <si>
    <t>4/10 DO PELE LTDA-CT 01/02 69,75</t>
  </si>
  <si>
    <t>5/10 LuciaHelenaN-CT e 8,00</t>
  </si>
  <si>
    <t>15/10 PETZ DIGITAL 01/03 113,56</t>
  </si>
  <si>
    <t>15/10 DL *UberRides 17,93</t>
  </si>
  <si>
    <t>15/10 DL *UberRides 23,98</t>
  </si>
  <si>
    <t>03/10 SUPERMERCADO-CT 01/02 126,86 3/10 FRIGOLUCIO 65,26</t>
  </si>
  <si>
    <t>ana</t>
  </si>
  <si>
    <t>08/05 grupogen *Grupo 05/10 24,61</t>
  </si>
  <si>
    <t>08/05 HTM*CENTRO DE ESTU  05/12 103,11</t>
  </si>
  <si>
    <t>2/12 ITAUSHOP 10/18 103,27</t>
  </si>
  <si>
    <t>2/12 ITAUSHOP 10/18 103,28</t>
  </si>
  <si>
    <r>
      <rPr>
        <sz val="18"/>
        <color rgb="FFFF0000"/>
        <rFont val="Calibri"/>
        <family val="2"/>
        <scheme val="minor"/>
      </rPr>
      <t xml:space="preserve"> TV</t>
    </r>
    <r>
      <rPr>
        <sz val="18"/>
        <color theme="1"/>
        <rFont val="Calibri"/>
        <family val="2"/>
        <scheme val="minor"/>
      </rPr>
      <t xml:space="preserve"> 25/01 SAMSUNG NO ITAU 08/21 117,65</t>
    </r>
  </si>
  <si>
    <t>5/01 SAMSUNG NO ITAU 09/21 85,80</t>
  </si>
  <si>
    <t xml:space="preserve">14/07 ITAUSHOP   CELULAR ARLETE </t>
  </si>
  <si>
    <t xml:space="preserve">lasana </t>
  </si>
  <si>
    <t xml:space="preserve">remedio diana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</si>
</sst>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rgb="FFFF0000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14" fontId="1" fillId="0" borderId="1" xfId="0" applyNumberFormat="1" applyFont="1" applyBorder="1"/>
    <xf numFmtId="0" fontId="0" fillId="3" borderId="0" xfId="0" applyFill="1"/>
    <xf numFmtId="0" fontId="1" fillId="3" borderId="1" xfId="0" applyFont="1" applyFill="1" applyBorder="1"/>
    <xf numFmtId="14" fontId="1" fillId="3" borderId="1" xfId="0" applyNumberFormat="1" applyFont="1" applyFill="1" applyBorder="1"/>
    <xf numFmtId="0" fontId="3" fillId="3" borderId="1" xfId="0" applyFont="1" applyFill="1" applyBorder="1"/>
    <xf numFmtId="14" fontId="3" fillId="3" borderId="1" xfId="0" applyNumberFormat="1" applyFont="1" applyFill="1" applyBorder="1"/>
    <xf numFmtId="14" fontId="0" fillId="3" borderId="1" xfId="0" applyNumberFormat="1" applyFill="1" applyBorder="1"/>
    <xf numFmtId="0" fontId="0" fillId="3" borderId="1" xfId="0" applyFill="1" applyBorder="1"/>
    <xf numFmtId="0" fontId="1" fillId="4" borderId="1" xfId="0" applyFont="1" applyFill="1" applyBorder="1"/>
    <xf numFmtId="14" fontId="1" fillId="4" borderId="1" xfId="0" applyNumberFormat="1" applyFont="1" applyFill="1" applyBorder="1"/>
    <xf numFmtId="0" fontId="0" fillId="4" borderId="0" xfId="0" applyFill="1"/>
    <xf numFmtId="14" fontId="5" fillId="2" borderId="1" xfId="0" applyNumberFormat="1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0" xfId="0" applyFont="1" applyFill="1"/>
    <xf numFmtId="0" fontId="0" fillId="3" borderId="2" xfId="0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1" fillId="3" borderId="3" xfId="0" applyFont="1" applyFill="1" applyBorder="1"/>
    <xf numFmtId="0" fontId="1" fillId="3" borderId="2" xfId="0" applyFont="1" applyFill="1" applyBorder="1"/>
    <xf numFmtId="14" fontId="5" fillId="3" borderId="1" xfId="0" applyNumberFormat="1" applyFont="1" applyFill="1" applyBorder="1"/>
    <xf numFmtId="0" fontId="5" fillId="3" borderId="1" xfId="0" applyFont="1" applyFill="1" applyBorder="1"/>
    <xf numFmtId="0" fontId="1" fillId="5" borderId="1" xfId="0" applyFont="1" applyFill="1" applyBorder="1"/>
    <xf numFmtId="14" fontId="1" fillId="5" borderId="1" xfId="0" applyNumberFormat="1" applyFont="1" applyFill="1" applyBorder="1"/>
    <xf numFmtId="0" fontId="1" fillId="2" borderId="3" xfId="0" applyFont="1" applyFill="1" applyBorder="1"/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EBDF-314C-491C-9D7D-A8DCF863CDB3}">
  <dimension ref="A1:I49"/>
  <sheetViews>
    <sheetView showGridLines="0" topLeftCell="A40" workbookViewId="0">
      <selection activeCell="C53" sqref="C53"/>
    </sheetView>
  </sheetViews>
  <sheetFormatPr defaultRowHeight="15" x14ac:dyDescent="0.25"/>
  <cols>
    <col min="1" max="1" width="40.5703125" customWidth="1"/>
    <col min="2" max="2" width="20.7109375" bestFit="1" customWidth="1"/>
    <col min="3" max="3" width="25.28515625" customWidth="1"/>
    <col min="9" max="9" width="10.5703125" customWidth="1"/>
  </cols>
  <sheetData>
    <row r="1" spans="1:9" ht="23.25" x14ac:dyDescent="0.35">
      <c r="A1" s="12" t="s">
        <v>8</v>
      </c>
      <c r="B1" s="12" t="s">
        <v>9</v>
      </c>
      <c r="C1" s="12" t="s">
        <v>7</v>
      </c>
    </row>
    <row r="2" spans="1:9" ht="23.25" x14ac:dyDescent="0.35">
      <c r="A2" s="6" t="s">
        <v>10</v>
      </c>
      <c r="B2" s="7">
        <v>45681</v>
      </c>
      <c r="C2" s="6">
        <v>1101.77</v>
      </c>
    </row>
    <row r="3" spans="1:9" ht="23.25" x14ac:dyDescent="0.35">
      <c r="A3" s="6" t="s">
        <v>4</v>
      </c>
      <c r="B3" s="7">
        <v>46019</v>
      </c>
      <c r="C3" s="6">
        <v>400</v>
      </c>
    </row>
    <row r="4" spans="1:9" ht="23.25" x14ac:dyDescent="0.35">
      <c r="A4" s="6" t="s">
        <v>4</v>
      </c>
      <c r="B4" s="7">
        <v>46023</v>
      </c>
      <c r="C4" s="6">
        <v>1000</v>
      </c>
    </row>
    <row r="5" spans="1:9" ht="23.25" x14ac:dyDescent="0.35">
      <c r="A5" s="6" t="s">
        <v>3</v>
      </c>
      <c r="B5" s="7">
        <v>46027</v>
      </c>
      <c r="C5" s="6">
        <v>800</v>
      </c>
    </row>
    <row r="6" spans="1:9" ht="23.25" x14ac:dyDescent="0.35">
      <c r="A6" s="6" t="s">
        <v>11</v>
      </c>
      <c r="B6" s="7">
        <v>46028</v>
      </c>
      <c r="C6" s="6">
        <v>3000</v>
      </c>
    </row>
    <row r="7" spans="1:9" ht="23.25" x14ac:dyDescent="0.35">
      <c r="A7" s="6" t="s">
        <v>6</v>
      </c>
      <c r="B7" s="7">
        <v>46027</v>
      </c>
      <c r="C7" s="6">
        <v>3726.12</v>
      </c>
      <c r="I7" s="14" t="s">
        <v>13</v>
      </c>
    </row>
    <row r="8" spans="1:9" ht="23.25" x14ac:dyDescent="0.35">
      <c r="A8" s="12" t="s">
        <v>12</v>
      </c>
      <c r="B8" s="13"/>
      <c r="C8" s="12">
        <f>SUM(C2:C7)</f>
        <v>10027.89</v>
      </c>
    </row>
    <row r="9" spans="1:9" ht="23.25" x14ac:dyDescent="0.35">
      <c r="A9" s="6" t="s">
        <v>14</v>
      </c>
      <c r="B9" s="7">
        <v>46032</v>
      </c>
      <c r="C9" s="6">
        <v>-3491.59</v>
      </c>
    </row>
    <row r="10" spans="1:9" ht="23.25" x14ac:dyDescent="0.35">
      <c r="A10" s="6" t="s">
        <v>4</v>
      </c>
      <c r="B10" s="7">
        <v>46033</v>
      </c>
      <c r="C10" s="6">
        <v>500</v>
      </c>
    </row>
    <row r="11" spans="1:9" ht="23.25" x14ac:dyDescent="0.35">
      <c r="A11" s="6" t="s">
        <v>3</v>
      </c>
      <c r="B11" s="7">
        <v>46036</v>
      </c>
      <c r="C11" s="6">
        <v>300</v>
      </c>
    </row>
    <row r="12" spans="1:9" ht="23.25" x14ac:dyDescent="0.35">
      <c r="A12" s="6" t="s">
        <v>5</v>
      </c>
      <c r="B12" s="7">
        <v>46042</v>
      </c>
      <c r="C12" s="6">
        <v>800</v>
      </c>
    </row>
    <row r="13" spans="1:9" ht="23.25" x14ac:dyDescent="0.35">
      <c r="A13" s="6" t="s">
        <v>12</v>
      </c>
      <c r="B13" s="7">
        <v>46042</v>
      </c>
      <c r="C13" s="6">
        <f>SUM(C8:C12)</f>
        <v>8136.2999999999993</v>
      </c>
    </row>
    <row r="14" spans="1:9" ht="23.25" x14ac:dyDescent="0.35">
      <c r="A14" s="6" t="s">
        <v>19</v>
      </c>
      <c r="B14" s="7">
        <v>45679</v>
      </c>
      <c r="C14" s="6">
        <v>336</v>
      </c>
    </row>
    <row r="15" spans="1:9" ht="23.25" x14ac:dyDescent="0.35">
      <c r="A15" s="6" t="s">
        <v>19</v>
      </c>
      <c r="B15" s="7">
        <v>45678</v>
      </c>
      <c r="C15" s="6">
        <v>300</v>
      </c>
    </row>
    <row r="16" spans="1:9" ht="23.25" x14ac:dyDescent="0.35">
      <c r="A16" s="6" t="s">
        <v>19</v>
      </c>
      <c r="B16" s="7">
        <v>45662</v>
      </c>
      <c r="C16" s="6">
        <v>72</v>
      </c>
    </row>
    <row r="17" spans="1:3" ht="23.25" x14ac:dyDescent="0.35">
      <c r="A17" s="6" t="s">
        <v>20</v>
      </c>
      <c r="B17" s="7">
        <v>45680</v>
      </c>
      <c r="C17" s="6">
        <v>-8051.23</v>
      </c>
    </row>
    <row r="18" spans="1:3" ht="23.25" x14ac:dyDescent="0.35">
      <c r="A18" s="8" t="s">
        <v>12</v>
      </c>
      <c r="B18" s="9"/>
      <c r="C18" s="8">
        <f>SUM(C13:C17)</f>
        <v>793.06999999999971</v>
      </c>
    </row>
    <row r="19" spans="1:3" ht="23.25" x14ac:dyDescent="0.35">
      <c r="A19" s="6"/>
      <c r="B19" s="7">
        <v>46053</v>
      </c>
      <c r="C19" s="6">
        <v>900</v>
      </c>
    </row>
    <row r="20" spans="1:3" ht="23.25" x14ac:dyDescent="0.35">
      <c r="A20" s="6"/>
      <c r="B20" s="7">
        <v>46045</v>
      </c>
      <c r="C20" s="6">
        <v>200</v>
      </c>
    </row>
    <row r="21" spans="1:3" ht="23.25" x14ac:dyDescent="0.35">
      <c r="A21" s="10"/>
      <c r="B21" s="7">
        <v>46058</v>
      </c>
      <c r="C21" s="6">
        <v>1430</v>
      </c>
    </row>
    <row r="22" spans="1:3" ht="23.25" x14ac:dyDescent="0.35">
      <c r="A22" s="11"/>
      <c r="B22" s="7">
        <v>46116</v>
      </c>
      <c r="C22" s="8">
        <v>2380</v>
      </c>
    </row>
    <row r="23" spans="1:3" ht="26.25" x14ac:dyDescent="0.4">
      <c r="A23" s="11"/>
      <c r="B23" s="15">
        <v>46058</v>
      </c>
      <c r="C23" s="16">
        <f>SUM(C18:C22)</f>
        <v>5703.07</v>
      </c>
    </row>
    <row r="24" spans="1:3" ht="23.25" x14ac:dyDescent="0.35">
      <c r="A24" s="1"/>
      <c r="B24" s="4">
        <v>46062</v>
      </c>
      <c r="C24" s="1">
        <v>800</v>
      </c>
    </row>
    <row r="25" spans="1:3" ht="23.25" x14ac:dyDescent="0.35">
      <c r="A25" s="1"/>
      <c r="B25" s="4">
        <v>46072</v>
      </c>
      <c r="C25" s="1">
        <v>200</v>
      </c>
    </row>
    <row r="26" spans="1:3" ht="23.25" x14ac:dyDescent="0.35">
      <c r="A26" s="1" t="s">
        <v>24</v>
      </c>
      <c r="B26" s="4">
        <v>46063</v>
      </c>
      <c r="C26" s="1">
        <v>-1629</v>
      </c>
    </row>
    <row r="27" spans="1:3" ht="23.25" x14ac:dyDescent="0.35">
      <c r="A27" s="2" t="s">
        <v>23</v>
      </c>
      <c r="B27" s="7">
        <v>46072</v>
      </c>
      <c r="C27" s="6">
        <v>5074</v>
      </c>
    </row>
    <row r="28" spans="1:3" ht="23.25" x14ac:dyDescent="0.35">
      <c r="A28" s="1"/>
      <c r="B28" s="7">
        <v>46072</v>
      </c>
      <c r="C28" s="6">
        <v>1500</v>
      </c>
    </row>
    <row r="29" spans="1:3" ht="23.25" x14ac:dyDescent="0.35">
      <c r="A29" s="1" t="s">
        <v>25</v>
      </c>
      <c r="B29" s="7">
        <v>46072</v>
      </c>
      <c r="C29" s="6">
        <f>SUM(C27:C28)</f>
        <v>6574</v>
      </c>
    </row>
    <row r="30" spans="1:3" ht="23.25" x14ac:dyDescent="0.35">
      <c r="A30" s="3"/>
      <c r="B30" s="7">
        <v>46072</v>
      </c>
      <c r="C30" s="6">
        <v>300</v>
      </c>
    </row>
    <row r="31" spans="1:3" ht="23.25" x14ac:dyDescent="0.35">
      <c r="A31" s="1"/>
      <c r="B31" s="7">
        <v>46073</v>
      </c>
      <c r="C31" s="6">
        <v>560</v>
      </c>
    </row>
    <row r="32" spans="1:3" ht="23.25" x14ac:dyDescent="0.35">
      <c r="A32" s="1" t="s">
        <v>27</v>
      </c>
      <c r="B32" s="7">
        <v>46073</v>
      </c>
      <c r="C32" s="6">
        <f>SUM(C29:C31)</f>
        <v>7434</v>
      </c>
    </row>
    <row r="33" spans="1:3" ht="23.25" x14ac:dyDescent="0.35">
      <c r="A33" s="1" t="s">
        <v>20</v>
      </c>
      <c r="B33" s="4">
        <v>46076</v>
      </c>
      <c r="C33" s="1">
        <v>-7356</v>
      </c>
    </row>
    <row r="34" spans="1:3" ht="23.25" x14ac:dyDescent="0.35">
      <c r="A34" s="12" t="s">
        <v>29</v>
      </c>
      <c r="B34" s="13">
        <v>46076</v>
      </c>
      <c r="C34" s="12">
        <f>SUM(C32:C33)</f>
        <v>78</v>
      </c>
    </row>
    <row r="35" spans="1:3" ht="23.25" x14ac:dyDescent="0.35">
      <c r="A35" s="1" t="s">
        <v>26</v>
      </c>
      <c r="B35" s="4">
        <v>46078</v>
      </c>
      <c r="C35" s="1">
        <v>500</v>
      </c>
    </row>
    <row r="36" spans="1:3" ht="23.25" x14ac:dyDescent="0.35">
      <c r="A36" s="1" t="s">
        <v>26</v>
      </c>
      <c r="B36" s="4">
        <v>46081</v>
      </c>
      <c r="C36" s="1">
        <v>850</v>
      </c>
    </row>
    <row r="37" spans="1:3" ht="23.25" x14ac:dyDescent="0.35">
      <c r="A37" s="1" t="s">
        <v>26</v>
      </c>
      <c r="B37" s="4">
        <v>46086</v>
      </c>
      <c r="C37" s="1">
        <v>1100</v>
      </c>
    </row>
    <row r="38" spans="1:3" ht="23.25" x14ac:dyDescent="0.35">
      <c r="A38" s="6" t="s">
        <v>26</v>
      </c>
      <c r="B38" s="7">
        <v>46086</v>
      </c>
      <c r="C38" s="6">
        <v>2265.37</v>
      </c>
    </row>
    <row r="39" spans="1:3" ht="23.25" x14ac:dyDescent="0.35">
      <c r="A39" s="6" t="s">
        <v>26</v>
      </c>
      <c r="B39" s="7">
        <v>46091</v>
      </c>
      <c r="C39" s="6">
        <v>300</v>
      </c>
    </row>
    <row r="40" spans="1:3" ht="23.25" x14ac:dyDescent="0.35">
      <c r="A40" s="6" t="s">
        <v>28</v>
      </c>
      <c r="B40" s="7">
        <v>46091</v>
      </c>
      <c r="C40" s="6">
        <v>-621</v>
      </c>
    </row>
    <row r="41" spans="1:3" ht="23.25" x14ac:dyDescent="0.35">
      <c r="A41" s="6" t="s">
        <v>30</v>
      </c>
      <c r="B41" s="7">
        <v>46100</v>
      </c>
      <c r="C41" s="6">
        <v>1340</v>
      </c>
    </row>
    <row r="42" spans="1:3" ht="23.25" x14ac:dyDescent="0.35">
      <c r="A42" s="6" t="s">
        <v>31</v>
      </c>
      <c r="B42" s="7">
        <v>46101</v>
      </c>
      <c r="C42" s="6">
        <v>400</v>
      </c>
    </row>
    <row r="43" spans="1:3" ht="23.25" x14ac:dyDescent="0.35">
      <c r="A43" s="6" t="s">
        <v>31</v>
      </c>
      <c r="B43" s="7">
        <v>46101</v>
      </c>
      <c r="C43" s="6">
        <v>563</v>
      </c>
    </row>
    <row r="44" spans="1:3" ht="23.25" x14ac:dyDescent="0.35">
      <c r="A44" s="6" t="s">
        <v>30</v>
      </c>
      <c r="B44" s="7">
        <v>46104</v>
      </c>
      <c r="C44" s="6">
        <v>2000</v>
      </c>
    </row>
    <row r="45" spans="1:3" ht="23.25" x14ac:dyDescent="0.35">
      <c r="A45" s="12" t="s">
        <v>23</v>
      </c>
      <c r="B45" s="13"/>
      <c r="C45" s="12">
        <f>SUM(C34:C44)</f>
        <v>8775.369999999999</v>
      </c>
    </row>
    <row r="46" spans="1:3" ht="23.25" x14ac:dyDescent="0.35">
      <c r="A46" s="12" t="s">
        <v>20</v>
      </c>
      <c r="B46" s="13">
        <v>46104</v>
      </c>
      <c r="C46" s="12">
        <v>-7967</v>
      </c>
    </row>
    <row r="47" spans="1:3" ht="23.25" x14ac:dyDescent="0.35">
      <c r="A47" s="12" t="s">
        <v>20</v>
      </c>
      <c r="B47" s="13"/>
      <c r="C47" s="12">
        <f>SUM(C45:C46)</f>
        <v>808.36999999999898</v>
      </c>
    </row>
    <row r="48" spans="1:3" ht="23.25" x14ac:dyDescent="0.35">
      <c r="A48" s="23"/>
      <c r="B48" s="23"/>
      <c r="C48" s="12">
        <v>-300</v>
      </c>
    </row>
    <row r="49" spans="1:3" ht="23.25" x14ac:dyDescent="0.35">
      <c r="A49" s="23" t="s">
        <v>25</v>
      </c>
      <c r="B49" s="24">
        <v>46104</v>
      </c>
      <c r="C49" s="12">
        <f>SUM(C47:C48)</f>
        <v>508.36999999999898</v>
      </c>
    </row>
  </sheetData>
  <autoFilter ref="A1:C20" xr:uid="{D216EBDF-314C-491C-9D7D-A8DCF863CDB3}"/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065F-C6B6-4FF2-8AA8-6833FA42E556}">
  <dimension ref="A1:K53"/>
  <sheetViews>
    <sheetView showGridLines="0" workbookViewId="0">
      <selection activeCell="G8" sqref="G8"/>
    </sheetView>
  </sheetViews>
  <sheetFormatPr defaultRowHeight="15" x14ac:dyDescent="0.25"/>
  <cols>
    <col min="1" max="1" width="43.5703125" bestFit="1" customWidth="1"/>
    <col min="2" max="2" width="20.7109375" bestFit="1" customWidth="1"/>
    <col min="3" max="3" width="25.28515625" customWidth="1"/>
    <col min="9" max="9" width="10.5703125" customWidth="1"/>
  </cols>
  <sheetData>
    <row r="1" spans="1:11" ht="23.25" x14ac:dyDescent="0.35">
      <c r="A1" s="2" t="s">
        <v>8</v>
      </c>
      <c r="B1" s="2" t="s">
        <v>9</v>
      </c>
      <c r="C1" s="2" t="s">
        <v>7</v>
      </c>
    </row>
    <row r="2" spans="1:11" ht="23.25" x14ac:dyDescent="0.35">
      <c r="A2" s="30">
        <v>46235</v>
      </c>
      <c r="B2" s="30"/>
      <c r="C2" s="29">
        <v>2069</v>
      </c>
    </row>
    <row r="3" spans="1:11" ht="23.25" x14ac:dyDescent="0.35">
      <c r="A3" s="30">
        <v>46237</v>
      </c>
      <c r="B3" s="30"/>
      <c r="C3" s="29">
        <v>1500</v>
      </c>
    </row>
    <row r="4" spans="1:11" ht="23.25" x14ac:dyDescent="0.35">
      <c r="A4" s="12" t="s">
        <v>25</v>
      </c>
      <c r="B4" s="13"/>
      <c r="C4" s="12">
        <f>SUM(C2:C3)</f>
        <v>3569</v>
      </c>
    </row>
    <row r="5" spans="1:11" ht="23.25" x14ac:dyDescent="0.35">
      <c r="A5" s="30" t="s">
        <v>35</v>
      </c>
      <c r="B5" s="30"/>
      <c r="C5" s="29">
        <v>63</v>
      </c>
    </row>
    <row r="6" spans="1:11" ht="23.25" x14ac:dyDescent="0.35">
      <c r="A6" s="7" t="s">
        <v>36</v>
      </c>
      <c r="B6" s="7"/>
      <c r="C6" s="6">
        <v>2500</v>
      </c>
    </row>
    <row r="7" spans="1:11" ht="23.25" x14ac:dyDescent="0.35">
      <c r="A7" s="6" t="s">
        <v>19</v>
      </c>
      <c r="B7" s="7"/>
      <c r="C7" s="6">
        <v>1600</v>
      </c>
    </row>
    <row r="8" spans="1:11" ht="23.25" x14ac:dyDescent="0.35">
      <c r="A8" s="6"/>
      <c r="B8" s="7"/>
      <c r="C8" s="6"/>
      <c r="H8" s="5"/>
      <c r="I8" s="5"/>
      <c r="J8" s="5"/>
      <c r="K8" s="5"/>
    </row>
    <row r="9" spans="1:11" ht="23.25" x14ac:dyDescent="0.35">
      <c r="A9" s="6"/>
      <c r="B9" s="7"/>
      <c r="C9" s="6"/>
      <c r="H9" s="5"/>
      <c r="I9" s="5"/>
      <c r="J9" s="5"/>
      <c r="K9" s="5"/>
    </row>
    <row r="10" spans="1:11" ht="23.25" x14ac:dyDescent="0.35">
      <c r="A10" s="6"/>
      <c r="B10" s="7"/>
      <c r="C10" s="6"/>
      <c r="H10" s="5"/>
      <c r="I10" s="5"/>
      <c r="J10" s="5"/>
      <c r="K10" s="5"/>
    </row>
    <row r="11" spans="1:11" ht="23.25" x14ac:dyDescent="0.35">
      <c r="A11" s="6"/>
      <c r="B11" s="7"/>
      <c r="C11" s="6"/>
      <c r="H11" s="5"/>
      <c r="I11" s="5"/>
      <c r="J11" s="5"/>
      <c r="K11" s="5"/>
    </row>
    <row r="12" spans="1:11" ht="23.25" x14ac:dyDescent="0.35">
      <c r="A12" s="6"/>
      <c r="B12" s="7"/>
      <c r="C12" s="6"/>
      <c r="H12" s="5"/>
      <c r="I12" s="5"/>
      <c r="J12" s="5"/>
      <c r="K12" s="5"/>
    </row>
    <row r="13" spans="1:11" ht="23.25" x14ac:dyDescent="0.35">
      <c r="A13" s="6"/>
      <c r="B13" s="7"/>
      <c r="C13" s="6"/>
      <c r="H13" s="5"/>
      <c r="I13" s="5"/>
      <c r="J13" s="5"/>
      <c r="K13" s="5"/>
    </row>
    <row r="14" spans="1:11" ht="23.25" x14ac:dyDescent="0.35">
      <c r="A14" s="6"/>
      <c r="B14" s="7"/>
      <c r="C14" s="6"/>
    </row>
    <row r="15" spans="1:11" ht="23.25" x14ac:dyDescent="0.35">
      <c r="A15" s="6"/>
      <c r="B15" s="7"/>
      <c r="C15" s="6"/>
    </row>
    <row r="16" spans="1:11" ht="23.25" x14ac:dyDescent="0.35">
      <c r="A16" s="6"/>
      <c r="B16" s="7"/>
      <c r="C16" s="6"/>
    </row>
    <row r="17" spans="1:3" ht="23.25" x14ac:dyDescent="0.35">
      <c r="A17" s="6"/>
      <c r="B17" s="7"/>
      <c r="C17" s="6"/>
    </row>
    <row r="18" spans="1:3" ht="23.25" x14ac:dyDescent="0.35">
      <c r="A18" s="6"/>
      <c r="B18" s="7"/>
      <c r="C18" s="6"/>
    </row>
    <row r="19" spans="1:3" ht="23.25" x14ac:dyDescent="0.35">
      <c r="A19" s="6"/>
      <c r="B19" s="7"/>
      <c r="C19" s="6"/>
    </row>
    <row r="20" spans="1:3" ht="23.25" x14ac:dyDescent="0.35">
      <c r="A20" s="6"/>
      <c r="B20" s="7"/>
      <c r="C20" s="6"/>
    </row>
    <row r="21" spans="1:3" ht="23.25" x14ac:dyDescent="0.35">
      <c r="A21" s="6"/>
      <c r="B21" s="7"/>
      <c r="C21" s="6"/>
    </row>
    <row r="22" spans="1:3" ht="23.25" x14ac:dyDescent="0.35">
      <c r="A22" s="8"/>
      <c r="B22" s="9"/>
      <c r="C22" s="8"/>
    </row>
    <row r="23" spans="1:3" ht="23.25" x14ac:dyDescent="0.35">
      <c r="A23" s="6"/>
      <c r="B23" s="7"/>
      <c r="C23" s="6"/>
    </row>
    <row r="24" spans="1:3" ht="23.25" x14ac:dyDescent="0.35">
      <c r="A24" s="6"/>
      <c r="B24" s="7"/>
      <c r="C24" s="6"/>
    </row>
    <row r="25" spans="1:3" ht="23.25" x14ac:dyDescent="0.35">
      <c r="A25" s="10"/>
      <c r="B25" s="7"/>
      <c r="C25" s="6"/>
    </row>
    <row r="26" spans="1:3" ht="23.25" x14ac:dyDescent="0.35">
      <c r="A26" s="11"/>
      <c r="B26" s="7"/>
      <c r="C26" s="8"/>
    </row>
    <row r="27" spans="1:3" ht="26.25" x14ac:dyDescent="0.4">
      <c r="A27" s="11"/>
      <c r="B27" s="27"/>
      <c r="C27" s="28"/>
    </row>
    <row r="28" spans="1:3" ht="23.25" x14ac:dyDescent="0.35">
      <c r="A28" s="6"/>
      <c r="B28" s="7"/>
      <c r="C28" s="6"/>
    </row>
    <row r="29" spans="1:3" ht="23.25" x14ac:dyDescent="0.35">
      <c r="A29" s="6"/>
      <c r="B29" s="7"/>
      <c r="C29" s="6"/>
    </row>
    <row r="30" spans="1:3" ht="23.25" x14ac:dyDescent="0.35">
      <c r="A30" s="6"/>
      <c r="B30" s="7"/>
      <c r="C30" s="6"/>
    </row>
    <row r="31" spans="1:3" ht="23.25" x14ac:dyDescent="0.35">
      <c r="A31" s="6"/>
      <c r="B31" s="7"/>
      <c r="C31" s="6"/>
    </row>
    <row r="32" spans="1:3" ht="23.25" x14ac:dyDescent="0.35">
      <c r="A32" s="6"/>
      <c r="B32" s="7"/>
      <c r="C32" s="6"/>
    </row>
    <row r="33" spans="1:3" ht="23.25" x14ac:dyDescent="0.35">
      <c r="A33" s="6"/>
      <c r="B33" s="7"/>
      <c r="C33" s="6"/>
    </row>
    <row r="34" spans="1:3" ht="23.25" x14ac:dyDescent="0.35">
      <c r="A34" s="11"/>
      <c r="B34" s="7"/>
      <c r="C34" s="6"/>
    </row>
    <row r="35" spans="1:3" ht="23.25" x14ac:dyDescent="0.35">
      <c r="A35" s="6"/>
      <c r="B35" s="7"/>
      <c r="C35" s="6"/>
    </row>
    <row r="36" spans="1:3" ht="23.25" x14ac:dyDescent="0.35">
      <c r="A36" s="6"/>
      <c r="B36" s="7"/>
      <c r="C36" s="6"/>
    </row>
    <row r="37" spans="1:3" ht="23.25" x14ac:dyDescent="0.35">
      <c r="A37" s="6"/>
      <c r="B37" s="7"/>
      <c r="C37" s="6"/>
    </row>
    <row r="38" spans="1:3" ht="23.25" x14ac:dyDescent="0.35">
      <c r="A38" s="6"/>
      <c r="B38" s="7"/>
      <c r="C38" s="6"/>
    </row>
    <row r="39" spans="1:3" ht="23.25" x14ac:dyDescent="0.35">
      <c r="A39" s="6"/>
      <c r="B39" s="7"/>
      <c r="C39" s="6"/>
    </row>
    <row r="40" spans="1:3" ht="23.25" x14ac:dyDescent="0.35">
      <c r="A40" s="6"/>
      <c r="B40" s="7"/>
      <c r="C40" s="6"/>
    </row>
    <row r="41" spans="1:3" ht="23.25" x14ac:dyDescent="0.35">
      <c r="A41" s="6"/>
      <c r="B41" s="7"/>
      <c r="C41" s="6"/>
    </row>
    <row r="42" spans="1:3" ht="23.25" x14ac:dyDescent="0.35">
      <c r="A42" s="6"/>
      <c r="B42" s="7"/>
      <c r="C42" s="6"/>
    </row>
    <row r="43" spans="1:3" ht="23.25" x14ac:dyDescent="0.35">
      <c r="A43" s="6"/>
      <c r="B43" s="7"/>
      <c r="C43" s="6"/>
    </row>
    <row r="44" spans="1:3" ht="23.25" x14ac:dyDescent="0.35">
      <c r="A44" s="6"/>
      <c r="B44" s="7"/>
      <c r="C44" s="6"/>
    </row>
    <row r="45" spans="1:3" ht="23.25" x14ac:dyDescent="0.35">
      <c r="A45" s="6"/>
      <c r="B45" s="7"/>
      <c r="C45" s="6"/>
    </row>
    <row r="46" spans="1:3" ht="23.25" x14ac:dyDescent="0.35">
      <c r="A46" s="6"/>
      <c r="B46" s="7"/>
      <c r="C46" s="6"/>
    </row>
    <row r="47" spans="1:3" ht="23.25" x14ac:dyDescent="0.35">
      <c r="A47" s="6"/>
      <c r="B47" s="7"/>
      <c r="C47" s="6"/>
    </row>
    <row r="48" spans="1:3" ht="23.25" x14ac:dyDescent="0.35">
      <c r="A48" s="6"/>
      <c r="B48" s="7"/>
      <c r="C48" s="6"/>
    </row>
    <row r="49" spans="1:3" ht="23.25" x14ac:dyDescent="0.35">
      <c r="A49" s="6"/>
      <c r="B49" s="7"/>
      <c r="C49" s="6"/>
    </row>
    <row r="50" spans="1:3" ht="23.25" x14ac:dyDescent="0.35">
      <c r="A50" s="6"/>
      <c r="B50" s="7"/>
      <c r="C50" s="6"/>
    </row>
    <row r="51" spans="1:3" ht="23.25" x14ac:dyDescent="0.35">
      <c r="A51" s="6"/>
      <c r="B51" s="7"/>
      <c r="C51" s="6"/>
    </row>
    <row r="52" spans="1:3" ht="23.25" x14ac:dyDescent="0.35">
      <c r="A52" s="11"/>
      <c r="B52" s="11"/>
      <c r="C52" s="6"/>
    </row>
    <row r="53" spans="1:3" ht="23.25" x14ac:dyDescent="0.35">
      <c r="A53" s="11"/>
      <c r="B53" s="10"/>
      <c r="C53" s="6"/>
    </row>
  </sheetData>
  <autoFilter ref="A1:C24" xr:uid="{D216EBDF-314C-491C-9D7D-A8DCF863CDB3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F26F-5A55-4D74-A75B-E0A24CE4B837}">
  <dimension ref="A1:C672"/>
  <sheetViews>
    <sheetView showGridLines="0" tabSelected="1" topLeftCell="A145" zoomScaleNormal="100" workbookViewId="0">
      <selection activeCell="F153" sqref="F153"/>
    </sheetView>
  </sheetViews>
  <sheetFormatPr defaultRowHeight="23.25" x14ac:dyDescent="0.35"/>
  <cols>
    <col min="1" max="1" width="42.28515625" style="5" bestFit="1" customWidth="1"/>
    <col min="2" max="2" width="94" style="21" bestFit="1" customWidth="1"/>
    <col min="3" max="3" width="25" style="5" customWidth="1"/>
    <col min="6" max="6" width="9.5703125" bestFit="1" customWidth="1"/>
  </cols>
  <sheetData>
    <row r="1" spans="1:3" ht="36" x14ac:dyDescent="0.55000000000000004">
      <c r="A1" s="17" t="s">
        <v>0</v>
      </c>
      <c r="B1" s="6" t="s">
        <v>1</v>
      </c>
      <c r="C1" s="17" t="s">
        <v>2</v>
      </c>
    </row>
    <row r="2" spans="1:3" x14ac:dyDescent="0.35">
      <c r="A2" s="2" t="s">
        <v>3</v>
      </c>
      <c r="B2" s="2" t="s">
        <v>41</v>
      </c>
      <c r="C2" s="2">
        <v>208.37</v>
      </c>
    </row>
    <row r="3" spans="1:3" x14ac:dyDescent="0.35">
      <c r="A3" s="6"/>
      <c r="B3" s="6"/>
      <c r="C3" s="6"/>
    </row>
    <row r="4" spans="1:3" x14ac:dyDescent="0.35">
      <c r="A4" s="6"/>
      <c r="B4" s="6"/>
      <c r="C4" s="6"/>
    </row>
    <row r="5" spans="1:3" x14ac:dyDescent="0.35">
      <c r="A5" s="2" t="s">
        <v>3</v>
      </c>
      <c r="B5" s="2" t="s">
        <v>43</v>
      </c>
      <c r="C5" s="2">
        <v>40</v>
      </c>
    </row>
    <row r="6" spans="1:3" x14ac:dyDescent="0.35">
      <c r="A6" s="2" t="s">
        <v>4</v>
      </c>
      <c r="B6" s="2" t="s">
        <v>43</v>
      </c>
      <c r="C6" s="2">
        <v>70</v>
      </c>
    </row>
    <row r="7" spans="1:3" s="5" customFormat="1" x14ac:dyDescent="0.35">
      <c r="A7" s="2" t="s">
        <v>4</v>
      </c>
      <c r="B7" s="2" t="s">
        <v>44</v>
      </c>
      <c r="C7" s="2">
        <v>158.29</v>
      </c>
    </row>
    <row r="8" spans="1:3" s="5" customFormat="1" x14ac:dyDescent="0.35">
      <c r="A8" s="2" t="s">
        <v>3</v>
      </c>
      <c r="B8" s="2" t="s">
        <v>42</v>
      </c>
      <c r="C8" s="2">
        <v>294.64999999999998</v>
      </c>
    </row>
    <row r="9" spans="1:3" s="5" customFormat="1" x14ac:dyDescent="0.35">
      <c r="A9" s="6"/>
      <c r="B9" s="6"/>
      <c r="C9" s="6"/>
    </row>
    <row r="10" spans="1:3" s="5" customFormat="1" x14ac:dyDescent="0.35">
      <c r="A10" s="2" t="s">
        <v>3</v>
      </c>
      <c r="B10" s="2" t="s">
        <v>45</v>
      </c>
      <c r="C10" s="2">
        <v>110</v>
      </c>
    </row>
    <row r="11" spans="1:3" x14ac:dyDescent="0.35">
      <c r="A11" s="25"/>
      <c r="B11" s="25"/>
      <c r="C11" s="25"/>
    </row>
    <row r="12" spans="1:3" x14ac:dyDescent="0.35">
      <c r="A12" s="2" t="s">
        <v>3</v>
      </c>
      <c r="B12" s="2" t="s">
        <v>122</v>
      </c>
      <c r="C12" s="2">
        <v>53</v>
      </c>
    </row>
    <row r="13" spans="1:3" x14ac:dyDescent="0.35">
      <c r="A13" s="2" t="s">
        <v>6</v>
      </c>
      <c r="B13" s="2" t="s">
        <v>123</v>
      </c>
      <c r="C13" s="2">
        <v>50</v>
      </c>
    </row>
    <row r="14" spans="1:3" x14ac:dyDescent="0.35">
      <c r="A14" s="2" t="s">
        <v>3</v>
      </c>
      <c r="B14" s="2" t="s">
        <v>124</v>
      </c>
      <c r="C14" s="2">
        <v>117.65</v>
      </c>
    </row>
    <row r="15" spans="1:3" x14ac:dyDescent="0.35">
      <c r="A15" s="2" t="s">
        <v>6</v>
      </c>
      <c r="B15" s="2" t="s">
        <v>46</v>
      </c>
      <c r="C15" s="2">
        <v>1833.37</v>
      </c>
    </row>
    <row r="16" spans="1:3" x14ac:dyDescent="0.35">
      <c r="A16" s="2" t="s">
        <v>4</v>
      </c>
      <c r="B16" s="2" t="s">
        <v>47</v>
      </c>
      <c r="C16" s="2">
        <v>330</v>
      </c>
    </row>
    <row r="17" spans="1:3" x14ac:dyDescent="0.35">
      <c r="A17" s="2" t="s">
        <v>3</v>
      </c>
      <c r="B17" s="2" t="s">
        <v>48</v>
      </c>
      <c r="C17" s="2">
        <v>161.6</v>
      </c>
    </row>
    <row r="18" spans="1:3" x14ac:dyDescent="0.35">
      <c r="A18" s="6"/>
      <c r="B18" s="6"/>
      <c r="C18" s="6"/>
    </row>
    <row r="19" spans="1:3" x14ac:dyDescent="0.35">
      <c r="A19" s="2" t="s">
        <v>4</v>
      </c>
      <c r="B19" s="2" t="s">
        <v>49</v>
      </c>
      <c r="C19" s="2">
        <v>71.02</v>
      </c>
    </row>
    <row r="20" spans="1:3" x14ac:dyDescent="0.35">
      <c r="A20" s="2" t="s">
        <v>4</v>
      </c>
      <c r="B20" s="2" t="s">
        <v>50</v>
      </c>
      <c r="C20" s="2">
        <v>198.9</v>
      </c>
    </row>
    <row r="21" spans="1:3" x14ac:dyDescent="0.35">
      <c r="A21" s="2" t="s">
        <v>4</v>
      </c>
      <c r="B21" s="2" t="s">
        <v>120</v>
      </c>
      <c r="C21" s="2">
        <v>24.61</v>
      </c>
    </row>
    <row r="22" spans="1:3" x14ac:dyDescent="0.35">
      <c r="A22" s="2" t="s">
        <v>4</v>
      </c>
      <c r="B22" s="2" t="s">
        <v>121</v>
      </c>
      <c r="C22" s="2">
        <v>103.11</v>
      </c>
    </row>
    <row r="23" spans="1:3" x14ac:dyDescent="0.35">
      <c r="A23" s="31" t="s">
        <v>4</v>
      </c>
      <c r="B23" s="31" t="s">
        <v>51</v>
      </c>
      <c r="C23" s="31">
        <v>55.85</v>
      </c>
    </row>
    <row r="24" spans="1:3" x14ac:dyDescent="0.35">
      <c r="A24" s="31" t="s">
        <v>4</v>
      </c>
      <c r="B24" s="31" t="s">
        <v>52</v>
      </c>
      <c r="C24" s="31">
        <v>62.34</v>
      </c>
    </row>
    <row r="25" spans="1:3" x14ac:dyDescent="0.35">
      <c r="A25" s="31" t="s">
        <v>34</v>
      </c>
      <c r="B25" s="31" t="s">
        <v>53</v>
      </c>
      <c r="C25" s="31">
        <v>40.659999999999997</v>
      </c>
    </row>
    <row r="26" spans="1:3" x14ac:dyDescent="0.35">
      <c r="A26" s="2" t="s">
        <v>4</v>
      </c>
      <c r="B26" s="2" t="s">
        <v>54</v>
      </c>
      <c r="C26" s="2">
        <v>43.34</v>
      </c>
    </row>
    <row r="27" spans="1:3" x14ac:dyDescent="0.35">
      <c r="A27" s="2" t="s">
        <v>34</v>
      </c>
      <c r="B27" s="2" t="s">
        <v>55</v>
      </c>
      <c r="C27" s="2">
        <v>55.47</v>
      </c>
    </row>
    <row r="28" spans="1:3" x14ac:dyDescent="0.35">
      <c r="A28" s="2" t="s">
        <v>4</v>
      </c>
      <c r="B28" s="2" t="s">
        <v>56</v>
      </c>
      <c r="C28" s="2">
        <v>36.35</v>
      </c>
    </row>
    <row r="29" spans="1:3" x14ac:dyDescent="0.35">
      <c r="A29" s="2" t="s">
        <v>4</v>
      </c>
      <c r="B29" s="2" t="s">
        <v>57</v>
      </c>
      <c r="C29" s="2">
        <v>27.17</v>
      </c>
    </row>
    <row r="30" spans="1:3" x14ac:dyDescent="0.35">
      <c r="A30" s="6"/>
      <c r="B30" s="6"/>
      <c r="C30" s="6"/>
    </row>
    <row r="31" spans="1:3" x14ac:dyDescent="0.35">
      <c r="A31" s="2" t="s">
        <v>4</v>
      </c>
      <c r="B31" s="2" t="s">
        <v>58</v>
      </c>
      <c r="C31" s="2">
        <v>69.64</v>
      </c>
    </row>
    <row r="32" spans="1:3" x14ac:dyDescent="0.35">
      <c r="A32" s="2" t="s">
        <v>4</v>
      </c>
      <c r="B32" s="2" t="s">
        <v>59</v>
      </c>
      <c r="C32" s="2">
        <v>33</v>
      </c>
    </row>
    <row r="33" spans="1:3" x14ac:dyDescent="0.35">
      <c r="A33" s="2" t="s">
        <v>39</v>
      </c>
      <c r="B33" s="2" t="s">
        <v>59</v>
      </c>
      <c r="C33" s="2">
        <v>33</v>
      </c>
    </row>
    <row r="34" spans="1:3" x14ac:dyDescent="0.35">
      <c r="A34" s="2" t="s">
        <v>3</v>
      </c>
      <c r="B34" s="2" t="s">
        <v>59</v>
      </c>
      <c r="C34" s="2">
        <v>33</v>
      </c>
    </row>
    <row r="35" spans="1:3" x14ac:dyDescent="0.35">
      <c r="A35" s="6"/>
      <c r="B35" s="6"/>
      <c r="C35" s="6"/>
    </row>
    <row r="36" spans="1:3" x14ac:dyDescent="0.35">
      <c r="A36" s="2" t="s">
        <v>4</v>
      </c>
      <c r="B36" s="2" t="s">
        <v>37</v>
      </c>
      <c r="C36" s="2">
        <v>51.19</v>
      </c>
    </row>
    <row r="37" spans="1:3" x14ac:dyDescent="0.35">
      <c r="A37" s="2" t="s">
        <v>4</v>
      </c>
      <c r="B37" s="2" t="s">
        <v>60</v>
      </c>
      <c r="C37" s="2">
        <v>78.650000000000006</v>
      </c>
    </row>
    <row r="38" spans="1:3" x14ac:dyDescent="0.35">
      <c r="A38" s="6"/>
      <c r="B38" s="6"/>
      <c r="C38" s="6"/>
    </row>
    <row r="39" spans="1:3" x14ac:dyDescent="0.35">
      <c r="A39" s="2" t="s">
        <v>4</v>
      </c>
      <c r="B39" s="2" t="s">
        <v>61</v>
      </c>
      <c r="C39" s="2">
        <v>155</v>
      </c>
    </row>
    <row r="40" spans="1:3" x14ac:dyDescent="0.35">
      <c r="A40" s="2" t="s">
        <v>3</v>
      </c>
      <c r="B40" s="2" t="s">
        <v>62</v>
      </c>
      <c r="C40" s="2">
        <v>89.1</v>
      </c>
    </row>
    <row r="41" spans="1:3" x14ac:dyDescent="0.35">
      <c r="A41" s="6" t="s">
        <v>4</v>
      </c>
      <c r="B41" s="6" t="s">
        <v>38</v>
      </c>
      <c r="C41" s="6">
        <v>12.9</v>
      </c>
    </row>
    <row r="42" spans="1:3" x14ac:dyDescent="0.35">
      <c r="A42" s="2" t="s">
        <v>4</v>
      </c>
      <c r="B42" s="2" t="s">
        <v>63</v>
      </c>
      <c r="C42" s="2">
        <v>111.9</v>
      </c>
    </row>
    <row r="43" spans="1:3" x14ac:dyDescent="0.35">
      <c r="A43" s="6"/>
      <c r="B43" s="6"/>
      <c r="C43" s="6"/>
    </row>
    <row r="44" spans="1:3" x14ac:dyDescent="0.35">
      <c r="A44" s="6"/>
      <c r="B44" s="6"/>
      <c r="C44" s="6"/>
    </row>
    <row r="45" spans="1:3" x14ac:dyDescent="0.35">
      <c r="A45" s="6"/>
      <c r="B45" s="6"/>
      <c r="C45" s="6"/>
    </row>
    <row r="46" spans="1:3" x14ac:dyDescent="0.35">
      <c r="A46" s="6"/>
      <c r="B46" s="6"/>
      <c r="C46" s="6"/>
    </row>
    <row r="47" spans="1:3" x14ac:dyDescent="0.35">
      <c r="A47" s="2" t="s">
        <v>3</v>
      </c>
      <c r="B47" s="2" t="s">
        <v>64</v>
      </c>
      <c r="C47" s="2">
        <v>66.84</v>
      </c>
    </row>
    <row r="48" spans="1:3" x14ac:dyDescent="0.35">
      <c r="A48" s="6"/>
      <c r="B48" s="6"/>
      <c r="C48" s="6"/>
    </row>
    <row r="49" spans="1:3" x14ac:dyDescent="0.35">
      <c r="A49" s="6"/>
      <c r="B49" s="6"/>
      <c r="C49" s="6"/>
    </row>
    <row r="50" spans="1:3" x14ac:dyDescent="0.35">
      <c r="A50" s="6"/>
      <c r="B50" s="6"/>
      <c r="C50" s="6"/>
    </row>
    <row r="51" spans="1:3" x14ac:dyDescent="0.35">
      <c r="A51" s="6"/>
      <c r="B51" s="6"/>
      <c r="C51" s="6"/>
    </row>
    <row r="52" spans="1:3" x14ac:dyDescent="0.35">
      <c r="A52" s="2" t="s">
        <v>4</v>
      </c>
      <c r="B52" s="2" t="s">
        <v>65</v>
      </c>
      <c r="C52" s="2">
        <v>118.98</v>
      </c>
    </row>
    <row r="53" spans="1:3" x14ac:dyDescent="0.35">
      <c r="A53" s="6"/>
      <c r="B53" s="6"/>
      <c r="C53" s="6"/>
    </row>
    <row r="54" spans="1:3" x14ac:dyDescent="0.35">
      <c r="A54" s="6"/>
      <c r="B54" s="6"/>
      <c r="C54" s="6"/>
    </row>
    <row r="55" spans="1:3" x14ac:dyDescent="0.35">
      <c r="A55" s="2" t="s">
        <v>4</v>
      </c>
      <c r="B55" s="2" t="s">
        <v>66</v>
      </c>
      <c r="C55" s="2">
        <v>110</v>
      </c>
    </row>
    <row r="56" spans="1:3" x14ac:dyDescent="0.35">
      <c r="A56" s="2" t="s">
        <v>3</v>
      </c>
      <c r="B56" s="2" t="s">
        <v>67</v>
      </c>
      <c r="C56" s="2">
        <v>80.28</v>
      </c>
    </row>
    <row r="57" spans="1:3" x14ac:dyDescent="0.35">
      <c r="A57" s="6"/>
      <c r="B57" s="6"/>
      <c r="C57" s="6"/>
    </row>
    <row r="58" spans="1:3" x14ac:dyDescent="0.35">
      <c r="A58" s="6"/>
      <c r="B58" s="6"/>
      <c r="C58" s="6"/>
    </row>
    <row r="59" spans="1:3" x14ac:dyDescent="0.35">
      <c r="A59" s="6"/>
      <c r="B59" s="6"/>
      <c r="C59" s="6"/>
    </row>
    <row r="60" spans="1:3" x14ac:dyDescent="0.35">
      <c r="A60" s="2" t="s">
        <v>4</v>
      </c>
      <c r="B60" s="2" t="s">
        <v>68</v>
      </c>
      <c r="C60" s="2">
        <v>124.2</v>
      </c>
    </row>
    <row r="61" spans="1:3" x14ac:dyDescent="0.35">
      <c r="A61" s="6"/>
      <c r="B61" s="6"/>
      <c r="C61" s="6"/>
    </row>
    <row r="62" spans="1:3" x14ac:dyDescent="0.35">
      <c r="A62" s="6"/>
      <c r="B62" s="6"/>
      <c r="C62" s="6"/>
    </row>
    <row r="63" spans="1:3" x14ac:dyDescent="0.35">
      <c r="A63" s="6"/>
      <c r="B63" s="6"/>
      <c r="C63" s="6"/>
    </row>
    <row r="64" spans="1:3" x14ac:dyDescent="0.35">
      <c r="A64" s="6"/>
      <c r="B64" s="6"/>
      <c r="C64" s="6"/>
    </row>
    <row r="65" spans="1:3" x14ac:dyDescent="0.35">
      <c r="A65" s="6"/>
      <c r="B65" s="6"/>
      <c r="C65" s="6"/>
    </row>
    <row r="66" spans="1:3" x14ac:dyDescent="0.35">
      <c r="A66" s="2" t="s">
        <v>4</v>
      </c>
      <c r="B66" s="2" t="s">
        <v>69</v>
      </c>
      <c r="C66" s="2">
        <v>60</v>
      </c>
    </row>
    <row r="67" spans="1:3" x14ac:dyDescent="0.35">
      <c r="A67" s="2" t="s">
        <v>4</v>
      </c>
      <c r="B67" s="2" t="s">
        <v>70</v>
      </c>
      <c r="C67" s="2">
        <v>40</v>
      </c>
    </row>
    <row r="68" spans="1:3" x14ac:dyDescent="0.35">
      <c r="A68" s="6"/>
      <c r="B68" s="6"/>
      <c r="C68" s="6"/>
    </row>
    <row r="69" spans="1:3" x14ac:dyDescent="0.35">
      <c r="A69" s="6"/>
      <c r="B69" s="6"/>
      <c r="C69" s="6"/>
    </row>
    <row r="70" spans="1:3" x14ac:dyDescent="0.35">
      <c r="A70" s="2" t="s">
        <v>40</v>
      </c>
      <c r="B70" s="2" t="s">
        <v>71</v>
      </c>
      <c r="C70" s="32">
        <v>1118</v>
      </c>
    </row>
    <row r="71" spans="1:3" x14ac:dyDescent="0.35">
      <c r="A71" s="2" t="s">
        <v>3</v>
      </c>
      <c r="B71" s="2" t="s">
        <v>72</v>
      </c>
      <c r="C71" s="2">
        <v>70</v>
      </c>
    </row>
    <row r="72" spans="1:3" x14ac:dyDescent="0.35">
      <c r="A72" s="2" t="s">
        <v>4</v>
      </c>
      <c r="B72" s="2" t="s">
        <v>73</v>
      </c>
      <c r="C72" s="2">
        <v>70</v>
      </c>
    </row>
    <row r="73" spans="1:3" x14ac:dyDescent="0.35">
      <c r="A73" s="6"/>
      <c r="B73" s="6"/>
      <c r="C73" s="6"/>
    </row>
    <row r="74" spans="1:3" x14ac:dyDescent="0.35">
      <c r="A74" s="2" t="s">
        <v>4</v>
      </c>
      <c r="B74" s="2" t="s">
        <v>74</v>
      </c>
      <c r="C74" s="2">
        <v>115.44</v>
      </c>
    </row>
    <row r="75" spans="1:3" x14ac:dyDescent="0.35">
      <c r="A75" s="6"/>
      <c r="B75" s="6"/>
      <c r="C75" s="6"/>
    </row>
    <row r="76" spans="1:3" x14ac:dyDescent="0.35">
      <c r="A76" s="2" t="s">
        <v>3</v>
      </c>
      <c r="B76" s="2" t="s">
        <v>75</v>
      </c>
      <c r="C76" s="2">
        <v>81.89</v>
      </c>
    </row>
    <row r="77" spans="1:3" s="5" customFormat="1" x14ac:dyDescent="0.35">
      <c r="A77" s="6" t="s">
        <v>34</v>
      </c>
      <c r="B77" s="6" t="s">
        <v>76</v>
      </c>
      <c r="C77" s="6">
        <v>22.99</v>
      </c>
    </row>
    <row r="78" spans="1:3" s="5" customFormat="1" x14ac:dyDescent="0.35">
      <c r="A78" s="6" t="s">
        <v>34</v>
      </c>
      <c r="B78" s="6" t="s">
        <v>77</v>
      </c>
      <c r="C78" s="6">
        <v>98.91</v>
      </c>
    </row>
    <row r="79" spans="1:3" s="5" customFormat="1" x14ac:dyDescent="0.35">
      <c r="A79" s="6" t="s">
        <v>4</v>
      </c>
      <c r="B79" s="6" t="s">
        <v>78</v>
      </c>
      <c r="C79" s="6">
        <v>29.54</v>
      </c>
    </row>
    <row r="80" spans="1:3" s="5" customFormat="1" x14ac:dyDescent="0.35">
      <c r="A80" s="6" t="s">
        <v>34</v>
      </c>
      <c r="B80" s="6" t="s">
        <v>79</v>
      </c>
      <c r="C80" s="6">
        <v>22.97</v>
      </c>
    </row>
    <row r="81" spans="1:3" s="5" customFormat="1" x14ac:dyDescent="0.35">
      <c r="A81" s="6" t="s">
        <v>34</v>
      </c>
      <c r="B81" s="6" t="s">
        <v>80</v>
      </c>
      <c r="C81" s="6">
        <v>68.59</v>
      </c>
    </row>
    <row r="82" spans="1:3" s="5" customFormat="1" x14ac:dyDescent="0.35">
      <c r="A82" s="6" t="s">
        <v>34</v>
      </c>
      <c r="B82" s="6" t="s">
        <v>81</v>
      </c>
      <c r="C82" s="6">
        <v>20.97</v>
      </c>
    </row>
    <row r="83" spans="1:3" x14ac:dyDescent="0.35">
      <c r="A83" s="6" t="s">
        <v>4</v>
      </c>
      <c r="B83" s="6" t="s">
        <v>82</v>
      </c>
      <c r="C83" s="6">
        <v>12.9</v>
      </c>
    </row>
    <row r="84" spans="1:3" x14ac:dyDescent="0.35">
      <c r="A84" s="6" t="s">
        <v>4</v>
      </c>
      <c r="B84" s="6" t="s">
        <v>83</v>
      </c>
      <c r="C84" s="6">
        <v>97.47</v>
      </c>
    </row>
    <row r="85" spans="1:3" x14ac:dyDescent="0.35">
      <c r="A85" s="6" t="s">
        <v>34</v>
      </c>
      <c r="B85" s="6" t="s">
        <v>84</v>
      </c>
      <c r="C85" s="6">
        <v>100</v>
      </c>
    </row>
    <row r="86" spans="1:3" x14ac:dyDescent="0.35">
      <c r="A86" s="6" t="s">
        <v>4</v>
      </c>
      <c r="B86" s="6" t="s">
        <v>84</v>
      </c>
      <c r="C86" s="6">
        <v>69</v>
      </c>
    </row>
    <row r="87" spans="1:3" x14ac:dyDescent="0.35">
      <c r="A87" s="6" t="s">
        <v>4</v>
      </c>
      <c r="B87" s="6" t="s">
        <v>85</v>
      </c>
      <c r="C87" s="6">
        <v>50.85</v>
      </c>
    </row>
    <row r="88" spans="1:3" x14ac:dyDescent="0.35">
      <c r="A88" s="6" t="s">
        <v>34</v>
      </c>
      <c r="B88" s="6" t="s">
        <v>86</v>
      </c>
      <c r="C88" s="6">
        <v>19.97</v>
      </c>
    </row>
    <row r="89" spans="1:3" x14ac:dyDescent="0.35">
      <c r="A89" s="6" t="s">
        <v>4</v>
      </c>
      <c r="B89" s="6" t="s">
        <v>87</v>
      </c>
      <c r="C89" s="6">
        <v>75</v>
      </c>
    </row>
    <row r="90" spans="1:3" x14ac:dyDescent="0.35">
      <c r="A90" s="6" t="s">
        <v>4</v>
      </c>
      <c r="B90" s="6" t="s">
        <v>88</v>
      </c>
      <c r="C90" s="6">
        <v>40.5</v>
      </c>
    </row>
    <row r="91" spans="1:3" x14ac:dyDescent="0.35">
      <c r="A91" s="6" t="s">
        <v>4</v>
      </c>
      <c r="B91" s="6" t="s">
        <v>89</v>
      </c>
      <c r="C91" s="6">
        <v>4.55</v>
      </c>
    </row>
    <row r="92" spans="1:3" x14ac:dyDescent="0.35">
      <c r="A92" s="6" t="s">
        <v>34</v>
      </c>
      <c r="B92" s="6" t="s">
        <v>90</v>
      </c>
      <c r="C92" s="6">
        <v>25.9</v>
      </c>
    </row>
    <row r="93" spans="1:3" x14ac:dyDescent="0.35">
      <c r="A93" s="6" t="s">
        <v>34</v>
      </c>
      <c r="B93" s="6" t="s">
        <v>91</v>
      </c>
      <c r="C93" s="6">
        <v>89.35</v>
      </c>
    </row>
    <row r="94" spans="1:3" x14ac:dyDescent="0.35">
      <c r="A94" s="6"/>
      <c r="B94" s="6"/>
      <c r="C94" s="6"/>
    </row>
    <row r="95" spans="1:3" x14ac:dyDescent="0.35">
      <c r="A95" s="6"/>
      <c r="B95" s="6"/>
      <c r="C95" s="6"/>
    </row>
    <row r="96" spans="1:3" x14ac:dyDescent="0.35">
      <c r="A96" s="2" t="s">
        <v>4</v>
      </c>
      <c r="B96" s="2" t="s">
        <v>92</v>
      </c>
      <c r="C96" s="2">
        <v>105.26</v>
      </c>
    </row>
    <row r="97" spans="1:3" x14ac:dyDescent="0.35">
      <c r="A97" s="2" t="s">
        <v>4</v>
      </c>
      <c r="B97" s="2" t="s">
        <v>93</v>
      </c>
      <c r="C97" s="2">
        <v>75.59</v>
      </c>
    </row>
    <row r="98" spans="1:3" x14ac:dyDescent="0.35">
      <c r="A98" s="2" t="s">
        <v>4</v>
      </c>
      <c r="B98" s="2" t="s">
        <v>94</v>
      </c>
      <c r="C98" s="2">
        <v>39.6</v>
      </c>
    </row>
    <row r="99" spans="1:3" x14ac:dyDescent="0.35">
      <c r="A99" s="2" t="s">
        <v>4</v>
      </c>
      <c r="B99" s="2" t="s">
        <v>95</v>
      </c>
      <c r="C99" s="2">
        <v>33.4</v>
      </c>
    </row>
    <row r="100" spans="1:3" x14ac:dyDescent="0.35">
      <c r="A100" s="2" t="s">
        <v>3</v>
      </c>
      <c r="B100" s="2" t="s">
        <v>96</v>
      </c>
      <c r="C100" s="2">
        <v>59.23</v>
      </c>
    </row>
    <row r="101" spans="1:3" x14ac:dyDescent="0.35">
      <c r="A101" s="2" t="s">
        <v>3</v>
      </c>
      <c r="B101" s="2" t="s">
        <v>97</v>
      </c>
      <c r="C101" s="2">
        <v>64.67</v>
      </c>
    </row>
    <row r="102" spans="1:3" x14ac:dyDescent="0.35">
      <c r="A102" s="2" t="s">
        <v>3</v>
      </c>
      <c r="B102" s="2" t="s">
        <v>98</v>
      </c>
      <c r="C102" s="2">
        <v>21.4</v>
      </c>
    </row>
    <row r="103" spans="1:3" x14ac:dyDescent="0.35">
      <c r="A103" s="2" t="s">
        <v>39</v>
      </c>
      <c r="B103" s="2" t="s">
        <v>118</v>
      </c>
      <c r="C103" s="2">
        <v>63</v>
      </c>
    </row>
    <row r="104" spans="1:3" x14ac:dyDescent="0.35">
      <c r="A104" s="2" t="s">
        <v>3</v>
      </c>
      <c r="B104" s="2" t="s">
        <v>99</v>
      </c>
      <c r="C104" s="2">
        <v>63</v>
      </c>
    </row>
    <row r="105" spans="1:3" x14ac:dyDescent="0.35">
      <c r="A105" s="2" t="s">
        <v>4</v>
      </c>
      <c r="B105" s="2" t="s">
        <v>99</v>
      </c>
      <c r="C105" s="2">
        <v>63</v>
      </c>
    </row>
    <row r="106" spans="1:3" x14ac:dyDescent="0.35">
      <c r="A106" s="2"/>
      <c r="B106" s="2"/>
      <c r="C106" s="2"/>
    </row>
    <row r="107" spans="1:3" x14ac:dyDescent="0.35">
      <c r="A107" s="6" t="s">
        <v>4</v>
      </c>
      <c r="B107" s="6" t="s">
        <v>100</v>
      </c>
      <c r="C107" s="6">
        <v>24.99</v>
      </c>
    </row>
    <row r="108" spans="1:3" x14ac:dyDescent="0.35">
      <c r="A108" s="6" t="s">
        <v>3</v>
      </c>
      <c r="B108" s="6" t="s">
        <v>101</v>
      </c>
      <c r="C108" s="6">
        <v>165.63</v>
      </c>
    </row>
    <row r="109" spans="1:3" x14ac:dyDescent="0.35">
      <c r="A109" s="6"/>
      <c r="B109" s="6"/>
      <c r="C109" s="6"/>
    </row>
    <row r="110" spans="1:3" x14ac:dyDescent="0.35">
      <c r="A110" s="2" t="s">
        <v>4</v>
      </c>
      <c r="B110" s="2" t="s">
        <v>102</v>
      </c>
      <c r="C110" s="2">
        <v>38.07</v>
      </c>
    </row>
    <row r="111" spans="1:3" x14ac:dyDescent="0.35">
      <c r="A111" s="2" t="s">
        <v>4</v>
      </c>
      <c r="B111" s="2" t="s">
        <v>103</v>
      </c>
      <c r="C111" s="2">
        <v>39.56</v>
      </c>
    </row>
    <row r="112" spans="1:3" x14ac:dyDescent="0.35">
      <c r="A112" s="2" t="s">
        <v>4</v>
      </c>
      <c r="B112" s="2" t="s">
        <v>104</v>
      </c>
      <c r="C112" s="2">
        <v>80.099999999999994</v>
      </c>
    </row>
    <row r="113" spans="1:3" x14ac:dyDescent="0.35">
      <c r="A113" s="2" t="s">
        <v>34</v>
      </c>
      <c r="B113" s="2" t="s">
        <v>105</v>
      </c>
      <c r="C113" s="2">
        <v>32.409999999999997</v>
      </c>
    </row>
    <row r="114" spans="1:3" x14ac:dyDescent="0.35">
      <c r="A114" s="2" t="s">
        <v>4</v>
      </c>
      <c r="B114" s="2" t="s">
        <v>106</v>
      </c>
      <c r="C114" s="2">
        <v>15</v>
      </c>
    </row>
    <row r="115" spans="1:3" x14ac:dyDescent="0.35">
      <c r="A115" s="2" t="s">
        <v>4</v>
      </c>
      <c r="B115" s="2" t="s">
        <v>107</v>
      </c>
      <c r="C115" s="2">
        <v>58.19</v>
      </c>
    </row>
    <row r="116" spans="1:3" x14ac:dyDescent="0.35">
      <c r="A116" s="2" t="s">
        <v>34</v>
      </c>
      <c r="B116" s="2" t="s">
        <v>108</v>
      </c>
      <c r="C116" s="2">
        <v>33.25</v>
      </c>
    </row>
    <row r="117" spans="1:3" x14ac:dyDescent="0.35">
      <c r="A117" s="2" t="s">
        <v>4</v>
      </c>
      <c r="B117" s="2" t="s">
        <v>109</v>
      </c>
      <c r="C117" s="2">
        <v>22.9</v>
      </c>
    </row>
    <row r="118" spans="1:3" x14ac:dyDescent="0.35">
      <c r="A118" s="2" t="s">
        <v>4</v>
      </c>
      <c r="B118" s="2" t="s">
        <v>110</v>
      </c>
      <c r="C118" s="2">
        <v>13.22</v>
      </c>
    </row>
    <row r="119" spans="1:3" x14ac:dyDescent="0.35">
      <c r="A119" s="2" t="s">
        <v>4</v>
      </c>
      <c r="B119" s="2" t="s">
        <v>111</v>
      </c>
      <c r="C119" s="2">
        <v>118.98</v>
      </c>
    </row>
    <row r="120" spans="1:3" x14ac:dyDescent="0.35">
      <c r="A120" s="2" t="s">
        <v>34</v>
      </c>
      <c r="B120" s="2" t="s">
        <v>112</v>
      </c>
      <c r="C120" s="2">
        <v>52.84</v>
      </c>
    </row>
    <row r="121" spans="1:3" x14ac:dyDescent="0.35">
      <c r="A121" s="2" t="s">
        <v>34</v>
      </c>
      <c r="B121" s="2" t="s">
        <v>113</v>
      </c>
      <c r="C121" s="2">
        <v>69.75</v>
      </c>
    </row>
    <row r="122" spans="1:3" x14ac:dyDescent="0.35">
      <c r="A122" s="2" t="s">
        <v>4</v>
      </c>
      <c r="B122" s="2" t="s">
        <v>114</v>
      </c>
      <c r="C122" s="2">
        <v>8</v>
      </c>
    </row>
    <row r="123" spans="1:3" x14ac:dyDescent="0.35">
      <c r="A123" s="2" t="s">
        <v>34</v>
      </c>
      <c r="B123" s="2" t="s">
        <v>115</v>
      </c>
      <c r="C123" s="2">
        <v>40</v>
      </c>
    </row>
    <row r="124" spans="1:3" x14ac:dyDescent="0.35">
      <c r="A124" s="2" t="s">
        <v>119</v>
      </c>
      <c r="B124" s="2" t="s">
        <v>115</v>
      </c>
      <c r="C124" s="2">
        <v>40</v>
      </c>
    </row>
    <row r="125" spans="1:3" x14ac:dyDescent="0.35">
      <c r="A125" s="2" t="s">
        <v>4</v>
      </c>
      <c r="B125" s="2" t="s">
        <v>115</v>
      </c>
      <c r="C125" s="2">
        <v>40</v>
      </c>
    </row>
    <row r="126" spans="1:3" x14ac:dyDescent="0.35">
      <c r="A126" s="2" t="s">
        <v>34</v>
      </c>
      <c r="B126" s="2" t="s">
        <v>116</v>
      </c>
      <c r="C126" s="2">
        <v>17.93</v>
      </c>
    </row>
    <row r="127" spans="1:3" x14ac:dyDescent="0.35">
      <c r="A127" s="2" t="s">
        <v>34</v>
      </c>
      <c r="B127" s="2" t="s">
        <v>117</v>
      </c>
      <c r="C127" s="2">
        <v>23.98</v>
      </c>
    </row>
    <row r="128" spans="1:3" x14ac:dyDescent="0.35">
      <c r="A128" s="2" t="s">
        <v>34</v>
      </c>
      <c r="B128" s="2" t="s">
        <v>125</v>
      </c>
      <c r="C128" s="2">
        <v>85.8</v>
      </c>
    </row>
    <row r="129" spans="1:3" x14ac:dyDescent="0.35">
      <c r="A129" s="6"/>
      <c r="B129" s="6"/>
      <c r="C129" s="6"/>
    </row>
    <row r="130" spans="1:3" x14ac:dyDescent="0.35">
      <c r="A130" s="6"/>
      <c r="B130" s="6"/>
      <c r="C130" s="6"/>
    </row>
    <row r="131" spans="1:3" x14ac:dyDescent="0.35">
      <c r="A131" s="6"/>
      <c r="B131" s="6"/>
      <c r="C131" s="6"/>
    </row>
    <row r="132" spans="1:3" x14ac:dyDescent="0.35">
      <c r="A132" s="6"/>
      <c r="B132" s="6"/>
      <c r="C132" s="6"/>
    </row>
    <row r="133" spans="1:3" x14ac:dyDescent="0.35">
      <c r="A133" s="6"/>
      <c r="B133" s="6"/>
      <c r="C133" s="6"/>
    </row>
    <row r="134" spans="1:3" x14ac:dyDescent="0.35">
      <c r="A134" s="6"/>
      <c r="B134" s="6"/>
      <c r="C134" s="6"/>
    </row>
    <row r="135" spans="1:3" x14ac:dyDescent="0.35">
      <c r="A135" s="6"/>
      <c r="B135" s="6"/>
      <c r="C135" s="6"/>
    </row>
    <row r="136" spans="1:3" x14ac:dyDescent="0.35">
      <c r="A136" s="6"/>
      <c r="B136" s="6"/>
      <c r="C136" s="6"/>
    </row>
    <row r="137" spans="1:3" x14ac:dyDescent="0.35">
      <c r="A137" s="6"/>
      <c r="B137" s="6"/>
      <c r="C137" s="6"/>
    </row>
    <row r="138" spans="1:3" x14ac:dyDescent="0.35">
      <c r="A138" s="6"/>
      <c r="B138" s="6"/>
      <c r="C138" s="6"/>
    </row>
    <row r="139" spans="1:3" x14ac:dyDescent="0.35">
      <c r="A139" s="6"/>
      <c r="B139" s="6"/>
      <c r="C139" s="6"/>
    </row>
    <row r="140" spans="1:3" x14ac:dyDescent="0.35">
      <c r="A140" s="6"/>
      <c r="B140" s="6"/>
      <c r="C140" s="6"/>
    </row>
    <row r="141" spans="1:3" x14ac:dyDescent="0.35">
      <c r="A141" s="6"/>
      <c r="B141" s="6"/>
      <c r="C141" s="6"/>
    </row>
    <row r="142" spans="1:3" x14ac:dyDescent="0.35">
      <c r="A142" s="6"/>
      <c r="B142" s="6"/>
      <c r="C142" s="6"/>
    </row>
    <row r="143" spans="1:3" x14ac:dyDescent="0.35">
      <c r="A143" s="6"/>
      <c r="B143" s="6"/>
      <c r="C143" s="6"/>
    </row>
    <row r="144" spans="1:3" ht="24" thickBot="1" x14ac:dyDescent="0.4">
      <c r="A144" s="18"/>
      <c r="B144" s="19"/>
      <c r="C144" s="20">
        <f>SUM(C2:C143)</f>
        <v>9326.9699999999957</v>
      </c>
    </row>
    <row r="145" spans="1:3" x14ac:dyDescent="0.35">
      <c r="A145" s="21"/>
      <c r="C145" s="21"/>
    </row>
    <row r="146" spans="1:3" x14ac:dyDescent="0.35">
      <c r="A146" s="21"/>
      <c r="C146" s="21"/>
    </row>
    <row r="147" spans="1:3" x14ac:dyDescent="0.35">
      <c r="A147" s="21"/>
      <c r="C147" s="21"/>
    </row>
    <row r="148" spans="1:3" x14ac:dyDescent="0.35">
      <c r="A148" s="21"/>
      <c r="C148" s="21"/>
    </row>
    <row r="149" spans="1:3" x14ac:dyDescent="0.35">
      <c r="A149" s="21"/>
      <c r="C149" s="21"/>
    </row>
    <row r="150" spans="1:3" x14ac:dyDescent="0.35">
      <c r="A150" s="21"/>
      <c r="B150" s="6" t="s">
        <v>15</v>
      </c>
      <c r="C150" s="6" t="s">
        <v>16</v>
      </c>
    </row>
    <row r="151" spans="1:3" x14ac:dyDescent="0.35">
      <c r="A151" s="21"/>
      <c r="B151" s="2" t="s">
        <v>17</v>
      </c>
      <c r="C151" s="2">
        <v>208.37</v>
      </c>
    </row>
    <row r="152" spans="1:3" x14ac:dyDescent="0.35">
      <c r="A152" s="21"/>
      <c r="B152" s="2" t="s">
        <v>18</v>
      </c>
      <c r="C152" s="2">
        <v>3071.42</v>
      </c>
    </row>
    <row r="153" spans="1:3" x14ac:dyDescent="0.35">
      <c r="A153" s="21"/>
      <c r="B153" s="6" t="s">
        <v>126</v>
      </c>
      <c r="C153" s="6">
        <v>83.58</v>
      </c>
    </row>
    <row r="154" spans="1:3" x14ac:dyDescent="0.35">
      <c r="A154" s="21"/>
      <c r="B154" s="2" t="s">
        <v>32</v>
      </c>
      <c r="C154" s="2">
        <v>127.72</v>
      </c>
    </row>
    <row r="155" spans="1:3" x14ac:dyDescent="0.35">
      <c r="A155" s="21"/>
      <c r="B155" s="2" t="s">
        <v>33</v>
      </c>
      <c r="C155" s="2">
        <v>5616</v>
      </c>
    </row>
    <row r="156" spans="1:3" x14ac:dyDescent="0.35">
      <c r="A156" s="21"/>
      <c r="B156" s="6" t="s">
        <v>21</v>
      </c>
      <c r="C156" s="6">
        <v>103.27</v>
      </c>
    </row>
    <row r="157" spans="1:3" x14ac:dyDescent="0.35">
      <c r="A157" s="21"/>
      <c r="B157" s="6" t="s">
        <v>22</v>
      </c>
      <c r="C157" s="6">
        <v>117</v>
      </c>
    </row>
    <row r="158" spans="1:3" x14ac:dyDescent="0.35">
      <c r="A158" s="21"/>
      <c r="B158" s="6" t="s">
        <v>127</v>
      </c>
      <c r="C158" s="6">
        <v>-60</v>
      </c>
    </row>
    <row r="159" spans="1:3" x14ac:dyDescent="0.35">
      <c r="A159" s="21"/>
      <c r="B159" s="6" t="s">
        <v>128</v>
      </c>
      <c r="C159" s="6">
        <v>-68</v>
      </c>
    </row>
    <row r="160" spans="1:3" x14ac:dyDescent="0.35">
      <c r="A160" s="21"/>
      <c r="B160" s="6"/>
      <c r="C160" s="6">
        <f>SUM(C151:C159)</f>
        <v>9199.36</v>
      </c>
    </row>
    <row r="161" spans="1:3" x14ac:dyDescent="0.35">
      <c r="A161" s="21"/>
      <c r="B161" s="6"/>
      <c r="C161" s="6"/>
    </row>
    <row r="162" spans="1:3" x14ac:dyDescent="0.35">
      <c r="A162" s="21"/>
      <c r="B162" s="6"/>
      <c r="C162" s="6"/>
    </row>
    <row r="163" spans="1:3" x14ac:dyDescent="0.35">
      <c r="A163" s="21"/>
      <c r="B163" s="6"/>
      <c r="C163" s="6"/>
    </row>
    <row r="164" spans="1:3" x14ac:dyDescent="0.35">
      <c r="A164" s="21"/>
      <c r="C164" s="21"/>
    </row>
    <row r="165" spans="1:3" x14ac:dyDescent="0.35">
      <c r="A165" s="21"/>
      <c r="C165" s="21"/>
    </row>
    <row r="166" spans="1:3" x14ac:dyDescent="0.35">
      <c r="A166" s="21"/>
      <c r="C166" s="21"/>
    </row>
    <row r="167" spans="1:3" x14ac:dyDescent="0.35">
      <c r="A167" s="21"/>
      <c r="C167" s="21"/>
    </row>
    <row r="168" spans="1:3" x14ac:dyDescent="0.35">
      <c r="A168" s="21"/>
      <c r="C168" s="21"/>
    </row>
    <row r="169" spans="1:3" x14ac:dyDescent="0.35">
      <c r="A169" s="21"/>
      <c r="C169" s="21"/>
    </row>
    <row r="170" spans="1:3" x14ac:dyDescent="0.35">
      <c r="A170" s="21"/>
      <c r="C170" s="21"/>
    </row>
    <row r="171" spans="1:3" x14ac:dyDescent="0.35">
      <c r="A171" s="21"/>
      <c r="C171" s="21"/>
    </row>
    <row r="172" spans="1:3" x14ac:dyDescent="0.35">
      <c r="A172" s="21"/>
      <c r="C172" s="21"/>
    </row>
    <row r="173" spans="1:3" x14ac:dyDescent="0.35">
      <c r="A173" s="21"/>
      <c r="C173" s="21"/>
    </row>
    <row r="174" spans="1:3" x14ac:dyDescent="0.35">
      <c r="A174" s="21"/>
      <c r="C174" s="21"/>
    </row>
    <row r="175" spans="1:3" x14ac:dyDescent="0.35">
      <c r="A175" s="21"/>
      <c r="C175" s="21"/>
    </row>
    <row r="176" spans="1:3" x14ac:dyDescent="0.35">
      <c r="A176" s="21"/>
      <c r="C176" s="21"/>
    </row>
    <row r="177" spans="1:3" x14ac:dyDescent="0.35">
      <c r="A177" s="21"/>
      <c r="C177" s="21"/>
    </row>
    <row r="178" spans="1:3" x14ac:dyDescent="0.35">
      <c r="A178" s="21"/>
      <c r="C178" s="21"/>
    </row>
    <row r="179" spans="1:3" x14ac:dyDescent="0.35">
      <c r="A179" s="21"/>
      <c r="C179" s="21"/>
    </row>
    <row r="180" spans="1:3" x14ac:dyDescent="0.35">
      <c r="A180" s="21"/>
      <c r="C180" s="21"/>
    </row>
    <row r="181" spans="1:3" x14ac:dyDescent="0.35">
      <c r="A181" s="21"/>
      <c r="C181" s="21"/>
    </row>
    <row r="182" spans="1:3" x14ac:dyDescent="0.35">
      <c r="A182" s="21"/>
      <c r="C182" s="21"/>
    </row>
    <row r="183" spans="1:3" x14ac:dyDescent="0.35">
      <c r="A183" s="21"/>
      <c r="C183" s="21"/>
    </row>
    <row r="184" spans="1:3" x14ac:dyDescent="0.35">
      <c r="A184" s="21"/>
      <c r="C184" s="21"/>
    </row>
    <row r="185" spans="1:3" x14ac:dyDescent="0.35">
      <c r="A185" s="21"/>
      <c r="C185" s="21"/>
    </row>
    <row r="186" spans="1:3" x14ac:dyDescent="0.35">
      <c r="A186" s="21"/>
      <c r="C186" s="21"/>
    </row>
    <row r="187" spans="1:3" x14ac:dyDescent="0.35">
      <c r="A187" s="21"/>
      <c r="C187" s="21"/>
    </row>
    <row r="188" spans="1:3" x14ac:dyDescent="0.35">
      <c r="A188" s="21"/>
      <c r="C188" s="21"/>
    </row>
    <row r="189" spans="1:3" x14ac:dyDescent="0.35">
      <c r="A189" s="21"/>
      <c r="C189" s="21"/>
    </row>
    <row r="190" spans="1:3" x14ac:dyDescent="0.35">
      <c r="A190" s="21"/>
      <c r="C190" s="21"/>
    </row>
    <row r="191" spans="1:3" x14ac:dyDescent="0.35">
      <c r="A191" s="21"/>
      <c r="C191" s="21"/>
    </row>
    <row r="192" spans="1:3" x14ac:dyDescent="0.35">
      <c r="A192" s="21"/>
      <c r="C192" s="21"/>
    </row>
    <row r="193" spans="1:3" x14ac:dyDescent="0.35">
      <c r="A193" s="21"/>
      <c r="C193" s="21"/>
    </row>
    <row r="194" spans="1:3" x14ac:dyDescent="0.35">
      <c r="A194" s="21"/>
      <c r="C194" s="21"/>
    </row>
    <row r="195" spans="1:3" x14ac:dyDescent="0.35">
      <c r="A195" s="21"/>
      <c r="C195" s="21"/>
    </row>
    <row r="196" spans="1:3" x14ac:dyDescent="0.35">
      <c r="A196" s="21"/>
      <c r="C196" s="21"/>
    </row>
    <row r="197" spans="1:3" x14ac:dyDescent="0.35">
      <c r="A197" s="21"/>
      <c r="C197" s="21"/>
    </row>
    <row r="198" spans="1:3" x14ac:dyDescent="0.35">
      <c r="A198" s="21"/>
      <c r="C198" s="21"/>
    </row>
    <row r="199" spans="1:3" x14ac:dyDescent="0.35">
      <c r="A199" s="21"/>
      <c r="C199" s="21"/>
    </row>
    <row r="200" spans="1:3" x14ac:dyDescent="0.35">
      <c r="A200" s="21"/>
      <c r="C200" s="21"/>
    </row>
    <row r="201" spans="1:3" x14ac:dyDescent="0.35">
      <c r="A201" s="21"/>
      <c r="C201" s="21"/>
    </row>
    <row r="202" spans="1:3" x14ac:dyDescent="0.35">
      <c r="A202" s="21"/>
      <c r="C202" s="21"/>
    </row>
    <row r="203" spans="1:3" x14ac:dyDescent="0.35">
      <c r="A203" s="21"/>
      <c r="C203" s="21"/>
    </row>
    <row r="204" spans="1:3" x14ac:dyDescent="0.35">
      <c r="A204" s="21"/>
      <c r="C204" s="21"/>
    </row>
    <row r="205" spans="1:3" x14ac:dyDescent="0.35">
      <c r="A205" s="21"/>
      <c r="C205" s="21"/>
    </row>
    <row r="206" spans="1:3" x14ac:dyDescent="0.35">
      <c r="A206" s="21"/>
      <c r="C206" s="21"/>
    </row>
    <row r="207" spans="1:3" x14ac:dyDescent="0.35">
      <c r="A207" s="21"/>
      <c r="C207" s="21"/>
    </row>
    <row r="208" spans="1:3" x14ac:dyDescent="0.35">
      <c r="A208" s="21"/>
      <c r="C208" s="21"/>
    </row>
    <row r="209" spans="1:3" x14ac:dyDescent="0.35">
      <c r="A209" s="21"/>
      <c r="C209" s="21"/>
    </row>
    <row r="210" spans="1:3" x14ac:dyDescent="0.35">
      <c r="A210" s="21"/>
      <c r="C210" s="21"/>
    </row>
    <row r="211" spans="1:3" x14ac:dyDescent="0.35">
      <c r="A211" s="21"/>
      <c r="C211" s="21"/>
    </row>
    <row r="212" spans="1:3" x14ac:dyDescent="0.35">
      <c r="A212" s="21"/>
      <c r="C212" s="21"/>
    </row>
    <row r="213" spans="1:3" x14ac:dyDescent="0.35">
      <c r="A213" s="21"/>
      <c r="C213" s="21"/>
    </row>
    <row r="214" spans="1:3" x14ac:dyDescent="0.35">
      <c r="A214" s="21"/>
      <c r="C214" s="21"/>
    </row>
    <row r="215" spans="1:3" x14ac:dyDescent="0.35">
      <c r="A215" s="21"/>
      <c r="C215" s="21"/>
    </row>
    <row r="216" spans="1:3" x14ac:dyDescent="0.35">
      <c r="A216" s="21"/>
      <c r="C216" s="21"/>
    </row>
    <row r="217" spans="1:3" x14ac:dyDescent="0.35">
      <c r="A217" s="21"/>
      <c r="C217" s="21"/>
    </row>
    <row r="218" spans="1:3" x14ac:dyDescent="0.35">
      <c r="A218" s="21"/>
      <c r="C218" s="21"/>
    </row>
    <row r="219" spans="1:3" x14ac:dyDescent="0.35">
      <c r="A219" s="21"/>
      <c r="C219" s="21"/>
    </row>
    <row r="220" spans="1:3" x14ac:dyDescent="0.35">
      <c r="A220" s="21"/>
      <c r="C220" s="21"/>
    </row>
    <row r="221" spans="1:3" x14ac:dyDescent="0.35">
      <c r="A221" s="21"/>
      <c r="C221" s="21"/>
    </row>
    <row r="222" spans="1:3" x14ac:dyDescent="0.35">
      <c r="A222" s="21"/>
      <c r="C222" s="21"/>
    </row>
    <row r="223" spans="1:3" x14ac:dyDescent="0.35">
      <c r="A223" s="21"/>
      <c r="C223" s="21"/>
    </row>
    <row r="224" spans="1:3" x14ac:dyDescent="0.35">
      <c r="A224" s="21"/>
      <c r="C224" s="21"/>
    </row>
    <row r="225" spans="1:3" x14ac:dyDescent="0.35">
      <c r="A225" s="21"/>
      <c r="C225" s="21"/>
    </row>
    <row r="226" spans="1:3" x14ac:dyDescent="0.35">
      <c r="A226" s="21"/>
      <c r="C226" s="21"/>
    </row>
    <row r="227" spans="1:3" x14ac:dyDescent="0.35">
      <c r="A227" s="21"/>
      <c r="C227" s="21"/>
    </row>
    <row r="228" spans="1:3" x14ac:dyDescent="0.35">
      <c r="A228" s="21"/>
      <c r="C228" s="21"/>
    </row>
    <row r="229" spans="1:3" x14ac:dyDescent="0.35">
      <c r="A229" s="21"/>
      <c r="C229" s="21"/>
    </row>
    <row r="230" spans="1:3" x14ac:dyDescent="0.35">
      <c r="A230" s="21"/>
      <c r="C230" s="21"/>
    </row>
    <row r="231" spans="1:3" x14ac:dyDescent="0.35">
      <c r="A231" s="21"/>
      <c r="C231" s="21"/>
    </row>
    <row r="232" spans="1:3" x14ac:dyDescent="0.35">
      <c r="A232" s="21"/>
      <c r="C232" s="21"/>
    </row>
    <row r="233" spans="1:3" x14ac:dyDescent="0.35">
      <c r="A233" s="21"/>
      <c r="C233" s="21"/>
    </row>
    <row r="234" spans="1:3" x14ac:dyDescent="0.35">
      <c r="A234" s="21"/>
      <c r="C234" s="21"/>
    </row>
    <row r="235" spans="1:3" x14ac:dyDescent="0.35">
      <c r="A235" s="21"/>
      <c r="C235" s="21"/>
    </row>
    <row r="236" spans="1:3" x14ac:dyDescent="0.35">
      <c r="A236" s="21"/>
      <c r="C236" s="21"/>
    </row>
    <row r="237" spans="1:3" x14ac:dyDescent="0.35">
      <c r="A237" s="21"/>
      <c r="C237" s="21"/>
    </row>
    <row r="238" spans="1:3" x14ac:dyDescent="0.35">
      <c r="A238" s="21"/>
      <c r="C238" s="21"/>
    </row>
    <row r="239" spans="1:3" x14ac:dyDescent="0.35">
      <c r="A239" s="21"/>
      <c r="C239" s="21"/>
    </row>
    <row r="240" spans="1:3" x14ac:dyDescent="0.35">
      <c r="A240" s="21"/>
      <c r="C240" s="21"/>
    </row>
    <row r="241" spans="1:3" x14ac:dyDescent="0.35">
      <c r="A241" s="21"/>
      <c r="C241" s="21"/>
    </row>
    <row r="242" spans="1:3" x14ac:dyDescent="0.35">
      <c r="A242" s="21"/>
      <c r="C242" s="21"/>
    </row>
    <row r="243" spans="1:3" x14ac:dyDescent="0.35">
      <c r="A243" s="21"/>
      <c r="C243" s="21"/>
    </row>
    <row r="244" spans="1:3" x14ac:dyDescent="0.35">
      <c r="A244" s="21"/>
      <c r="C244" s="21"/>
    </row>
    <row r="245" spans="1:3" x14ac:dyDescent="0.35">
      <c r="A245" s="21"/>
      <c r="C245" s="21"/>
    </row>
    <row r="246" spans="1:3" x14ac:dyDescent="0.35">
      <c r="A246" s="21"/>
      <c r="C246" s="21"/>
    </row>
    <row r="247" spans="1:3" x14ac:dyDescent="0.35">
      <c r="A247" s="21"/>
      <c r="C247" s="21"/>
    </row>
    <row r="248" spans="1:3" x14ac:dyDescent="0.35">
      <c r="A248" s="21"/>
      <c r="C248" s="21"/>
    </row>
    <row r="249" spans="1:3" x14ac:dyDescent="0.35">
      <c r="A249" s="21"/>
      <c r="C249" s="21"/>
    </row>
    <row r="250" spans="1:3" x14ac:dyDescent="0.35">
      <c r="A250" s="21"/>
      <c r="C250" s="21"/>
    </row>
    <row r="251" spans="1:3" x14ac:dyDescent="0.35">
      <c r="A251" s="21"/>
      <c r="C251" s="21"/>
    </row>
    <row r="252" spans="1:3" x14ac:dyDescent="0.35">
      <c r="A252" s="21"/>
      <c r="C252" s="21"/>
    </row>
    <row r="253" spans="1:3" x14ac:dyDescent="0.35">
      <c r="A253" s="21"/>
      <c r="C253" s="21"/>
    </row>
    <row r="254" spans="1:3" x14ac:dyDescent="0.35">
      <c r="A254" s="21"/>
      <c r="C254" s="21"/>
    </row>
    <row r="255" spans="1:3" x14ac:dyDescent="0.35">
      <c r="A255" s="21"/>
      <c r="C255" s="21"/>
    </row>
    <row r="256" spans="1:3" x14ac:dyDescent="0.35">
      <c r="A256" s="21"/>
      <c r="C256" s="21"/>
    </row>
    <row r="257" spans="1:3" x14ac:dyDescent="0.35">
      <c r="A257" s="21"/>
      <c r="C257" s="21"/>
    </row>
    <row r="258" spans="1:3" x14ac:dyDescent="0.35">
      <c r="A258" s="21"/>
      <c r="C258" s="21"/>
    </row>
    <row r="259" spans="1:3" x14ac:dyDescent="0.35">
      <c r="A259" s="21"/>
      <c r="C259" s="21"/>
    </row>
    <row r="260" spans="1:3" x14ac:dyDescent="0.35">
      <c r="A260" s="21"/>
      <c r="C260" s="21"/>
    </row>
    <row r="261" spans="1:3" x14ac:dyDescent="0.35">
      <c r="A261" s="21"/>
      <c r="C261" s="21"/>
    </row>
    <row r="262" spans="1:3" x14ac:dyDescent="0.35">
      <c r="A262" s="21"/>
      <c r="C262" s="21"/>
    </row>
    <row r="263" spans="1:3" x14ac:dyDescent="0.35">
      <c r="A263" s="21"/>
      <c r="C263" s="21"/>
    </row>
    <row r="264" spans="1:3" x14ac:dyDescent="0.35">
      <c r="A264" s="21"/>
      <c r="C264" s="21"/>
    </row>
    <row r="265" spans="1:3" x14ac:dyDescent="0.35">
      <c r="A265" s="21"/>
      <c r="C265" s="21"/>
    </row>
    <row r="266" spans="1:3" x14ac:dyDescent="0.35">
      <c r="A266" s="21"/>
      <c r="C266" s="21"/>
    </row>
    <row r="267" spans="1:3" x14ac:dyDescent="0.35">
      <c r="A267" s="21"/>
      <c r="C267" s="21"/>
    </row>
    <row r="268" spans="1:3" x14ac:dyDescent="0.35">
      <c r="A268" s="21"/>
      <c r="C268" s="21"/>
    </row>
    <row r="269" spans="1:3" x14ac:dyDescent="0.35">
      <c r="A269" s="21"/>
      <c r="C269" s="21"/>
    </row>
    <row r="270" spans="1:3" x14ac:dyDescent="0.35">
      <c r="A270" s="21"/>
      <c r="C270" s="21"/>
    </row>
    <row r="271" spans="1:3" x14ac:dyDescent="0.35">
      <c r="A271" s="21"/>
      <c r="C271" s="21"/>
    </row>
    <row r="272" spans="1:3" x14ac:dyDescent="0.35">
      <c r="A272" s="21"/>
      <c r="C272" s="21"/>
    </row>
    <row r="273" spans="1:3" x14ac:dyDescent="0.35">
      <c r="A273" s="21"/>
      <c r="C273" s="21"/>
    </row>
    <row r="274" spans="1:3" x14ac:dyDescent="0.35">
      <c r="A274" s="21"/>
      <c r="C274" s="21"/>
    </row>
    <row r="275" spans="1:3" x14ac:dyDescent="0.35">
      <c r="A275" s="21"/>
      <c r="C275" s="21"/>
    </row>
    <row r="276" spans="1:3" x14ac:dyDescent="0.35">
      <c r="A276" s="21"/>
      <c r="C276" s="21"/>
    </row>
    <row r="277" spans="1:3" x14ac:dyDescent="0.35">
      <c r="A277" s="21"/>
      <c r="C277" s="21"/>
    </row>
    <row r="278" spans="1:3" x14ac:dyDescent="0.35">
      <c r="A278" s="21"/>
      <c r="C278" s="21"/>
    </row>
    <row r="279" spans="1:3" x14ac:dyDescent="0.35">
      <c r="A279" s="21"/>
      <c r="C279" s="21"/>
    </row>
    <row r="280" spans="1:3" x14ac:dyDescent="0.35">
      <c r="A280" s="21"/>
      <c r="C280" s="21"/>
    </row>
    <row r="281" spans="1:3" x14ac:dyDescent="0.35">
      <c r="A281" s="21"/>
      <c r="C281" s="21"/>
    </row>
    <row r="282" spans="1:3" x14ac:dyDescent="0.35">
      <c r="A282" s="21"/>
      <c r="C282" s="21"/>
    </row>
    <row r="283" spans="1:3" x14ac:dyDescent="0.35">
      <c r="A283" s="21"/>
      <c r="C283" s="21"/>
    </row>
    <row r="284" spans="1:3" x14ac:dyDescent="0.35">
      <c r="A284" s="21"/>
      <c r="C284" s="21"/>
    </row>
    <row r="285" spans="1:3" x14ac:dyDescent="0.35">
      <c r="A285" s="21"/>
      <c r="C285" s="21"/>
    </row>
    <row r="286" spans="1:3" x14ac:dyDescent="0.35">
      <c r="A286" s="21"/>
      <c r="C286" s="21"/>
    </row>
    <row r="287" spans="1:3" x14ac:dyDescent="0.35">
      <c r="A287" s="21"/>
      <c r="C287" s="21"/>
    </row>
    <row r="288" spans="1:3" x14ac:dyDescent="0.35">
      <c r="A288" s="21"/>
      <c r="C288" s="21"/>
    </row>
    <row r="289" spans="1:3" x14ac:dyDescent="0.35">
      <c r="A289" s="21"/>
      <c r="C289" s="21"/>
    </row>
    <row r="290" spans="1:3" x14ac:dyDescent="0.35">
      <c r="A290" s="21"/>
      <c r="C290" s="21"/>
    </row>
    <row r="291" spans="1:3" x14ac:dyDescent="0.35">
      <c r="A291" s="21"/>
      <c r="C291" s="21"/>
    </row>
    <row r="292" spans="1:3" x14ac:dyDescent="0.35">
      <c r="A292" s="21"/>
      <c r="C292" s="21"/>
    </row>
    <row r="293" spans="1:3" x14ac:dyDescent="0.35">
      <c r="A293" s="21"/>
      <c r="C293" s="21"/>
    </row>
    <row r="294" spans="1:3" x14ac:dyDescent="0.35">
      <c r="A294" s="21"/>
      <c r="C294" s="21"/>
    </row>
    <row r="295" spans="1:3" x14ac:dyDescent="0.35">
      <c r="A295" s="21"/>
      <c r="C295" s="21"/>
    </row>
    <row r="296" spans="1:3" x14ac:dyDescent="0.35">
      <c r="A296" s="21"/>
      <c r="C296" s="21"/>
    </row>
    <row r="297" spans="1:3" x14ac:dyDescent="0.35">
      <c r="A297" s="21"/>
      <c r="C297" s="21"/>
    </row>
    <row r="298" spans="1:3" x14ac:dyDescent="0.35">
      <c r="A298" s="21"/>
      <c r="C298" s="21"/>
    </row>
    <row r="299" spans="1:3" x14ac:dyDescent="0.35">
      <c r="A299" s="21"/>
      <c r="C299" s="21"/>
    </row>
    <row r="300" spans="1:3" x14ac:dyDescent="0.35">
      <c r="A300" s="21"/>
      <c r="C300" s="21"/>
    </row>
    <row r="301" spans="1:3" x14ac:dyDescent="0.35">
      <c r="A301" s="21"/>
      <c r="C301" s="21"/>
    </row>
    <row r="302" spans="1:3" x14ac:dyDescent="0.35">
      <c r="A302" s="21"/>
      <c r="C302" s="21"/>
    </row>
    <row r="303" spans="1:3" x14ac:dyDescent="0.35">
      <c r="A303" s="21"/>
      <c r="C303" s="21"/>
    </row>
    <row r="304" spans="1:3" x14ac:dyDescent="0.35">
      <c r="A304" s="21"/>
      <c r="C304" s="21"/>
    </row>
    <row r="305" spans="1:3" x14ac:dyDescent="0.35">
      <c r="A305" s="21"/>
      <c r="C305" s="21"/>
    </row>
    <row r="306" spans="1:3" x14ac:dyDescent="0.35">
      <c r="A306" s="21"/>
      <c r="C306" s="21"/>
    </row>
    <row r="307" spans="1:3" x14ac:dyDescent="0.35">
      <c r="A307" s="21"/>
      <c r="C307" s="21"/>
    </row>
    <row r="308" spans="1:3" x14ac:dyDescent="0.35">
      <c r="A308" s="21"/>
      <c r="C308" s="21"/>
    </row>
    <row r="309" spans="1:3" x14ac:dyDescent="0.35">
      <c r="A309" s="21"/>
      <c r="C309" s="21"/>
    </row>
    <row r="310" spans="1:3" x14ac:dyDescent="0.35">
      <c r="A310" s="21"/>
      <c r="C310" s="21"/>
    </row>
    <row r="311" spans="1:3" x14ac:dyDescent="0.35">
      <c r="A311" s="21"/>
      <c r="C311" s="21"/>
    </row>
    <row r="312" spans="1:3" x14ac:dyDescent="0.35">
      <c r="A312" s="21"/>
      <c r="C312" s="21"/>
    </row>
    <row r="313" spans="1:3" x14ac:dyDescent="0.35">
      <c r="A313" s="21"/>
      <c r="C313" s="21"/>
    </row>
    <row r="314" spans="1:3" x14ac:dyDescent="0.35">
      <c r="A314" s="21"/>
      <c r="C314" s="21"/>
    </row>
    <row r="315" spans="1:3" x14ac:dyDescent="0.35">
      <c r="A315" s="21"/>
      <c r="C315" s="21"/>
    </row>
    <row r="316" spans="1:3" x14ac:dyDescent="0.35">
      <c r="A316" s="21"/>
      <c r="C316" s="21"/>
    </row>
    <row r="317" spans="1:3" x14ac:dyDescent="0.35">
      <c r="A317" s="21"/>
      <c r="C317" s="21"/>
    </row>
    <row r="318" spans="1:3" x14ac:dyDescent="0.35">
      <c r="A318" s="21"/>
      <c r="C318" s="21"/>
    </row>
    <row r="319" spans="1:3" x14ac:dyDescent="0.35">
      <c r="A319" s="21"/>
      <c r="C319" s="21"/>
    </row>
    <row r="320" spans="1:3" x14ac:dyDescent="0.35">
      <c r="A320" s="21"/>
      <c r="C320" s="21"/>
    </row>
    <row r="321" spans="1:3" x14ac:dyDescent="0.35">
      <c r="A321" s="21"/>
      <c r="C321" s="21"/>
    </row>
    <row r="322" spans="1:3" x14ac:dyDescent="0.35">
      <c r="A322" s="21"/>
      <c r="C322" s="21"/>
    </row>
    <row r="323" spans="1:3" x14ac:dyDescent="0.35">
      <c r="A323" s="21"/>
      <c r="C323" s="21"/>
    </row>
    <row r="324" spans="1:3" x14ac:dyDescent="0.35">
      <c r="A324" s="21"/>
      <c r="C324" s="21"/>
    </row>
    <row r="325" spans="1:3" x14ac:dyDescent="0.35">
      <c r="A325" s="21"/>
      <c r="C325" s="21"/>
    </row>
    <row r="326" spans="1:3" x14ac:dyDescent="0.35">
      <c r="A326" s="21"/>
      <c r="C326" s="21"/>
    </row>
    <row r="327" spans="1:3" x14ac:dyDescent="0.35">
      <c r="A327" s="21"/>
      <c r="C327" s="21"/>
    </row>
    <row r="328" spans="1:3" x14ac:dyDescent="0.35">
      <c r="A328" s="21"/>
      <c r="C328" s="21"/>
    </row>
    <row r="329" spans="1:3" x14ac:dyDescent="0.35">
      <c r="A329" s="21"/>
      <c r="C329" s="21"/>
    </row>
    <row r="330" spans="1:3" x14ac:dyDescent="0.35">
      <c r="A330" s="21"/>
      <c r="C330" s="21"/>
    </row>
    <row r="331" spans="1:3" x14ac:dyDescent="0.35">
      <c r="A331" s="21"/>
      <c r="C331" s="21"/>
    </row>
    <row r="332" spans="1:3" x14ac:dyDescent="0.35">
      <c r="A332" s="21"/>
      <c r="C332" s="21"/>
    </row>
    <row r="333" spans="1:3" x14ac:dyDescent="0.35">
      <c r="A333" s="21"/>
      <c r="C333" s="21"/>
    </row>
    <row r="334" spans="1:3" x14ac:dyDescent="0.35">
      <c r="A334" s="21"/>
      <c r="C334" s="21"/>
    </row>
    <row r="335" spans="1:3" x14ac:dyDescent="0.35">
      <c r="A335" s="21"/>
      <c r="C335" s="21"/>
    </row>
    <row r="336" spans="1:3" x14ac:dyDescent="0.35">
      <c r="A336" s="21"/>
      <c r="C336" s="21"/>
    </row>
    <row r="337" spans="1:3" x14ac:dyDescent="0.35">
      <c r="A337" s="21"/>
      <c r="C337" s="21"/>
    </row>
    <row r="338" spans="1:3" x14ac:dyDescent="0.35">
      <c r="A338" s="21"/>
      <c r="C338" s="21"/>
    </row>
    <row r="339" spans="1:3" x14ac:dyDescent="0.35">
      <c r="A339" s="21"/>
      <c r="C339" s="21"/>
    </row>
    <row r="340" spans="1:3" x14ac:dyDescent="0.35">
      <c r="A340" s="21"/>
      <c r="C340" s="21"/>
    </row>
    <row r="341" spans="1:3" x14ac:dyDescent="0.35">
      <c r="A341" s="21"/>
      <c r="C341" s="21"/>
    </row>
    <row r="342" spans="1:3" x14ac:dyDescent="0.35">
      <c r="A342" s="21"/>
      <c r="C342" s="21"/>
    </row>
    <row r="343" spans="1:3" x14ac:dyDescent="0.35">
      <c r="A343" s="21"/>
      <c r="C343" s="21"/>
    </row>
    <row r="344" spans="1:3" x14ac:dyDescent="0.35">
      <c r="C344" s="21"/>
    </row>
    <row r="671" spans="1:3" x14ac:dyDescent="0.35">
      <c r="A671" s="22"/>
    </row>
    <row r="672" spans="1:3" x14ac:dyDescent="0.35">
      <c r="B672" s="26"/>
      <c r="C672" s="22"/>
    </row>
  </sheetData>
  <autoFilter ref="A1:C144" xr:uid="{29C1F26F-5A55-4D74-A75B-E0A24CE4B837}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36E0-EA2D-497F-8AF8-AB906BC3E035}">
  <dimension ref="A1"/>
  <sheetViews>
    <sheetView workbookViewId="0">
      <selection activeCell="J25" sqref="J2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Planilha2</vt:lpstr>
      <vt:lpstr>Planilha2 (4)</vt:lpstr>
      <vt:lpstr>ABRIL DE 2026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ATENA</dc:creator>
  <cp:lastModifiedBy>ATENA</cp:lastModifiedBy>
  <dcterms:created xsi:type="dcterms:W3CDTF">2025-11-18T20:17:41Z</dcterms:created>
  <dcterms:modified xsi:type="dcterms:W3CDTF">2026-10-21T17:58:22Z</dcterms:modified>
</cp:coreProperties>
</file>